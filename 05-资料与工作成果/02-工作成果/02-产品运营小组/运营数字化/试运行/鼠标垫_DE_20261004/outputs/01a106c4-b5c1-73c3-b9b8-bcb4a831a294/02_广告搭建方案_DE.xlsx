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e94199934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活动结构" sheetId="1" r:id="R6e781272786348d9"/>
    <x:sheet xmlns:r="http://schemas.openxmlformats.org/officeDocument/2006/relationships" name="参数与公式" sheetId="2" r:id="Rab9d8725ca024d21"/>
    <x:sheet xmlns:r="http://schemas.openxmlformats.org/officeDocument/2006/relationships" name="本轮投放" sheetId="3" r:id="R60829d3c996d42f6"/>
    <x:sheet xmlns:r="http://schemas.openxmlformats.org/officeDocument/2006/relationships" name="否词审核" sheetId="4" r:id="Ra8a5687190564ce2"/>
    <x:sheet xmlns:r="http://schemas.openxmlformats.org/officeDocument/2006/relationships" name="词库审核" sheetId="5" r:id="Raab1594d16c54d7e"/>
    <x:sheet xmlns:r="http://schemas.openxmlformats.org/officeDocument/2006/relationships" name="两周动作" sheetId="6" r:id="R79a25ed50f944123"/>
    <x:sheet xmlns:r="http://schemas.openxmlformats.org/officeDocument/2006/relationships" name="历史记录" sheetId="7" r:id="Re360e15f63674405"/>
    <x:sheet xmlns:r="http://schemas.openxmlformats.org/officeDocument/2006/relationships" name="来源与商品候选" sheetId="8" r:id="R9d428b696acb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€&quot;#,##0.00"/>
    <x:numFmt numFmtId="201" formatCode="0.0%"/>
    <x:numFmt numFmtId="202" formatCode="#,##0"/>
    <x:numFmt numFmtId="203" formatCode="yyyy-mm-dd"/>
    <x:numFmt numFmtId="204" formatCode="0.00"/>
  </x:numFmts>
  <x:fonts count="7">
    <x:font>
      <x:sz val="11"/>
      <x:name val="Carlito"/>
    </x:font>
    <x:font>
      <x:sz val="10"/>
      <x:color rgb="FF243244"/>
      <x:name val="Arial"/>
    </x:font>
    <x:font>
      <x:b/>
      <x:sz val="14"/>
      <x:color rgb="FF26374C"/>
      <x:name val="Arial"/>
    </x:font>
    <x:font>
      <x:sz val="10"/>
      <x:color rgb="FF697586"/>
      <x:name val="Arial"/>
    </x:font>
    <x:font>
      <x:b/>
      <x:sz val="10"/>
      <x:color rgb="FFFFFFFF"/>
      <x:name val="Arial"/>
    </x:font>
    <x:font>
      <x:sz val="10"/>
      <x:color rgb="FF1F4E79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C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9AA9BA"/>
      </x:bottom>
    </x:border>
    <x:border>
      <x:left style="thin">
        <x:color rgb="FFD6DFEA"/>
      </x:left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horizontal="right" vertical="center" wrapText="1"/>
    </x:xf>
    <x:xf numFmtId="202" fontId="5" fillId="3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horizontal="right" vertical="center" wrapText="1"/>
    </x:xf>
    <x:xf numFmtId="203" fontId="5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horizontal="right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3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c91ea6df44bc3" /><Relationship Type="http://schemas.openxmlformats.org/officeDocument/2006/relationships/theme" Target="/xl/theme/theme1.xml" Id="R98b7b7f5e40c4481" /><Relationship Type="http://schemas.openxmlformats.org/officeDocument/2006/relationships/sharedStrings" Target="/xl/sharedStrings.xml" Id="Re20bb85591d7478f" /><Relationship Type="http://schemas.openxmlformats.org/officeDocument/2006/relationships/worksheet" Target="/xl/worksheets/sheet1.xml" Id="R6e781272786348d9" /><Relationship Type="http://schemas.openxmlformats.org/officeDocument/2006/relationships/worksheet" Target="/xl/worksheets/sheet2.xml" Id="Rab9d8725ca024d21" /><Relationship Type="http://schemas.openxmlformats.org/officeDocument/2006/relationships/worksheet" Target="/xl/worksheets/sheet3.xml" Id="R60829d3c996d42f6" /><Relationship Type="http://schemas.openxmlformats.org/officeDocument/2006/relationships/worksheet" Target="/xl/worksheets/sheet4.xml" Id="Ra8a5687190564ce2" /><Relationship Type="http://schemas.openxmlformats.org/officeDocument/2006/relationships/worksheet" Target="/xl/worksheets/sheet5.xml" Id="Raab1594d16c54d7e" /><Relationship Type="http://schemas.openxmlformats.org/officeDocument/2006/relationships/worksheet" Target="/xl/worksheets/sheet6.xml" Id="R79a25ed50f944123" /><Relationship Type="http://schemas.openxmlformats.org/officeDocument/2006/relationships/worksheet" Target="/xl/worksheets/sheet7.xml" Id="Re360e15f63674405" /><Relationship Type="http://schemas.openxmlformats.org/officeDocument/2006/relationships/worksheet" Target="/xl/worksheets/sheet8.xml" Id="R9d428b696acb46e5" /></Relationships>
</file>

<file path=xl/tables/table1.xml><?xml version="1.0" encoding="utf-8"?>
<x:table xmlns:x="http://schemas.openxmlformats.org/spreadsheetml/2006/main" id="3" name="CampaignStructure" displayName="CampaignStructure" ref="A5:M11" headerRowCount="1" totalsRowCount="0" totalsRowShown="0">
  <x:autoFilter ref="A5:M11"/>
  <x:tableColumns count="13">
    <x:tableColumn id="1" name="阶段"/>
    <x:tableColumn id="2" name="活动名称"/>
    <x:tableColumn id="3" name="广告组"/>
    <x:tableColumn id="4" name="匹配或类型"/>
    <x:tableColumn id="5" name="目的"/>
    <x:tableColumn id="6" name="可选份额"/>
    <x:tableColumn id="7" name="候选日预算EUR"/>
    <x:tableColumn id="8" name="实际日预算EUR"/>
    <x:tableColumn id="9" name="基础bid EUR"/>
    <x:tableColumn id="10" name="竞价策略"/>
    <x:tableColumn id="11" name="位置调整%"/>
    <x:tableColumn id="12" name="启用条件"/>
    <x:tableColumn id="13" name="本品AS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dParameters" displayName="AdParameters" ref="A5:F24" headerRowCount="1" totalsRowCount="0" totalsRowShown="0">
  <x:autoFilter ref="A5:F24"/>
  <x:tableColumns count="6">
    <x:tableColumn id="1" name="参数"/>
    <x:tableColumn id="2" name="输入值"/>
    <x:tableColumn id="3" name="单位"/>
    <x:tableColumn id="4" name="口径与用途"/>
    <x:tableColumn id="5" name="所需依据"/>
    <x:tableColumn id="6" name="负责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EconomicLimits" displayName="EconomicLimits" ref="A28:F35" headerRowCount="1" totalsRowCount="0" totalsRowShown="0">
  <x:autoFilter ref="A28:F35"/>
  <x:tableColumns count="6">
    <x:tableColumn id="1" name="计算指标"/>
    <x:tableColumn id="2" name="公式结果"/>
    <x:tableColumn id="3" name="单位"/>
    <x:tableColumn id="4" name="解释"/>
    <x:tableColumn id="5" name="依据"/>
    <x:tableColumn id="6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itialTargets" displayName="InitialTargets" ref="A5:M31" headerRowCount="1" totalsRowCount="0" totalsRowShown="0">
  <x:autoFilter ref="A5:M31"/>
  <x:tableColumns count="13">
    <x:tableColumn id="1" name="ID"/>
    <x:tableColumn id="2" name="活动"/>
    <x:tableColumn id="3" name="广告组"/>
    <x:tableColumn id="4" name="投放对象"/>
    <x:tableColumn id="5" name="匹配"/>
    <x:tableColumn id="6" name="数据性质"/>
    <x:tableColumn id="7" name="2025W46频率排名"/>
    <x:tableColumn id="8" name="建议基础bid EUR"/>
    <x:tableColumn id="9" name="实际基础bid EUR"/>
    <x:tableColumn id="10" name="候选状态"/>
    <x:tableColumn id="11" name="人工决定"/>
    <x:tableColumn id="12" name="依据"/>
    <x:tableColumn id="13" name="来源文件及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gativeCandidates" displayName="NegativeCandidates" ref="A5:H28" headerRowCount="1" totalsRowCount="0" totalsRowShown="0">
  <x:autoFilter ref="A5:H28"/>
  <x:tableColumns count="8">
    <x:tableColumn id="1" name="ID"/>
    <x:tableColumn id="2" name="否词"/>
    <x:tableColumn id="3" name="否定匹配"/>
    <x:tableColumn id="4" name="范围"/>
    <x:tableColumn id="5" name="理由"/>
    <x:tableColumn id="6" name="执行条件"/>
    <x:tableColumn id="7" name="人工决定"/>
    <x:tableColumn id="8" name="来源文件及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ullKeywordAudit" displayName="FullKeywordAudit" ref="A5:K372" headerRowCount="1" totalsRowCount="0" totalsRowShown="0">
  <x:autoFilter ref="A5:K372"/>
  <x:tableColumns count="11">
    <x:tableColumn id="1" name="ID"/>
    <x:tableColumn id="2" name="关键词"/>
    <x:tableColumn id="3" name="分类"/>
    <x:tableColumn id="4" name="建议"/>
    <x:tableColumn id="5" name="首轮投词"/>
    <x:tableColumn id="6" name="2025W46频率排名"/>
    <x:tableColumn id="7" name="内部量首条原值"/>
    <x:tableColumn id="8" name="量口径"/>
    <x:tableColumn id="9" name="人工决定"/>
    <x:tableColumn id="10" name="原因"/>
    <x:tableColumn id="11" name="来源文件及行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woWeekActions" displayName="TwoWeekActions" ref="A5:I10" headerRowCount="1" totalsRowCount="0" totalsRowShown="0">
  <x:autoFilter ref="A5:I10"/>
  <x:tableColumns count="9">
    <x:tableColumn id="1" name="时间"/>
    <x:tableColumn id="2" name="工作"/>
    <x:tableColumn id="3" name="必要输入"/>
    <x:tableColumn id="4" name="AI交付"/>
    <x:tableColumn id="5" name="验收与处理"/>
    <x:tableColumn id="6" name="责任角色"/>
    <x:tableColumn id="7" name="执行记录"/>
    <x:tableColumn id="8" name="实际完成日期"/>
    <x:tableColumn id="9" name="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istoricalEvents" displayName="HistoricalEvents" ref="A5:J35" headerRowCount="1" totalsRowCount="0" totalsRowShown="0">
  <x:autoFilter ref="A5:J35"/>
  <x:tableColumns count="10">
    <x:tableColumn id="1" name="日期"/>
    <x:tableColumn id="2" name="月下武士栏订单"/>
    <x:tableColumn id="3" name="其中人工干预单"/>
    <x:tableColumn id="4" name="全款式总订单"/>
    <x:tableColumn id="5" name="全款式人工干预单"/>
    <x:tableColumn id="6" name="记录流量全款式"/>
    <x:tableColumn id="7" name="经营备注"/>
    <x:tableColumn id="8" name="广告动作"/>
    <x:tableColumn id="9" name="数据性质"/>
    <x:tableColumn id="10" name="来源文件及行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Audit" displayName="SourceAudit" ref="A5:G19" headerRowCount="1" totalsRowCount="0" totalsRowShown="0">
  <x:autoFilter ref="A5:G19"/>
  <x:tableColumns count="7">
    <x:tableColumn id="1" name="来源文件"/>
    <x:tableColumn id="2" name="工作表"/>
    <x:tableColumn id="3" name="期间或标签"/>
    <x:tableColumn id="4" name="可用范围与限制"/>
    <x:tableColumn id="5" name="非空行"/>
    <x:tableColumn id="6" name="最大行"/>
    <x:tableColumn id="7" name="最大列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OfficialSources" displayName="OfficialSources" ref="A23:B29" headerRowCount="1" totalsRowCount="0" totalsRowShown="0">
  <x:autoFilter ref="A23:B29"/>
  <x:tableColumns count="2">
    <x:tableColumn id="1" name="官方说明"/>
    <x:tableColumn id="2" name="链接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mpetitorCandidates" displayName="CompetitorCandidates" ref="A33:J37" headerRowCount="1" totalsRowCount="0" totalsRowShown="0">
  <x:autoFilter ref="A33:J37"/>
  <x:tableColumns count="10">
    <x:tableColumn id="1" name="竞品ASIN"/>
    <x:tableColumn id="2" name="历史标题"/>
    <x:tableColumn id="3" name="历史期间"/>
    <x:tableColumn id="4" name="当前价EUR"/>
    <x:tableColumn id="5" name="当前库存"/>
    <x:tableColumn id="6" name="规格核验"/>
    <x:tableColumn id="7" name="本品报价差EUR"/>
    <x:tableColumn id="8" name="准备状态"/>
    <x:tableColumn id="9" name="历史点击份额"/>
    <x:tableColumn id="10" name="来源文件及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1d9c3b252147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0ab932374f4f39" /><Relationship Type="http://schemas.openxmlformats.org/officeDocument/2006/relationships/table" Target="/xl/tables/table3.xml" Id="Rb276516eb2e84d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2073576d491743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71e19575dc3a4a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2616a05696e54e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07dcde0c7be944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c6e9a441f56a4d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f927ee76027c4c5e" /><Relationship Type="http://schemas.openxmlformats.org/officeDocument/2006/relationships/table" Target="/xl/tables/table10.xml" Id="Rd27e00a4f161441b" /><Relationship Type="http://schemas.openxmlformats.org/officeDocument/2006/relationships/table" Target="/xl/tables/table11.xml" Id="R3f60943600434b50" /></Relationships>
</file>

<file path=xl/worksheets/sheet1.xml><?xml version="1.0" encoding="utf-8"?>
<x:worksheet xmlns:x="http://schemas.openxmlformats.org/spreadsheetml/2006/main">
  <x:sheetPr>
    <x:tabColor rgb="FF26374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44" hidden="0" customWidth="1"/>
    <x:col min="3" max="3" width="21" hidden="0" customWidth="1"/>
    <x:col min="4" max="4" width="16" hidden="0" customWidth="1"/>
    <x:col min="5" max="5" width="38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23" hidden="0" customWidth="1"/>
    <x:col min="11" max="11" width="18" hidden="0" customWidth="1"/>
    <x:col min="12" max="12" width="30" hidden="0" customWidth="1"/>
    <x:col min="13" max="13" width="17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7" customHeight="1">
      <x:c r="A2" s="3" t="str">
        <x:v>900版SP活动结构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0" customHeight="1">
      <x:c r="A3" s="5" t="str">
        <x:v>900 × 400 × 3 mm    ASIN B0H5HKNFDM    DE / EUR    2026-10-04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0" customHeight="1">
      <x:c r="A4" s="5" t="str">
        <x:v>候选比例25% / 35% / 15% / 25%仅为分配示例。预算和bid留空，未执行。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42" customHeight="1">
      <x:c r="A5" s="10" t="str">
        <x:v>阶段</x:v>
      </x:c>
      <x:c r="B5" s="10" t="str">
        <x:v>活动名称</x:v>
      </x:c>
      <x:c r="C5" s="10" t="str">
        <x:v>广告组</x:v>
      </x:c>
      <x:c r="D5" s="10" t="str">
        <x:v>匹配或类型</x:v>
      </x:c>
      <x:c r="E5" s="10" t="str">
        <x:v>目的</x:v>
      </x:c>
      <x:c r="F5" s="10" t="str">
        <x:v>可选份额</x:v>
      </x:c>
      <x:c r="G5" s="10" t="str">
        <x:v>候选日预算EUR</x:v>
      </x:c>
      <x:c r="H5" s="10" t="str">
        <x:v>实际日预算EUR</x:v>
      </x:c>
      <x:c r="I5" s="10" t="str">
        <x:v>基础bid EUR</x:v>
      </x:c>
      <x:c r="J5" s="10" t="str">
        <x:v>竞价策略</x:v>
      </x:c>
      <x:c r="K5" s="10" t="str">
        <x:v>位置调整%</x:v>
      </x:c>
      <x:c r="L5" s="10" t="str">
        <x:v>启用条件</x:v>
      </x:c>
      <x:c r="M5" s="10" t="str">
        <x:v>本品ASIN</x:v>
      </x:c>
    </x:row>
    <x:row r="6" ht="40" customHeight="1">
      <x:c r="A6" s="7" t="str">
        <x:v>首轮候选</x:v>
      </x:c>
      <x:c r="B6" s="7" t="str">
        <x:v>DE_YXWS900_SP_CORE_EX_V1</x:v>
      </x:c>
      <x:c r="C6" s="7" t="str">
        <x:v>CORE_EX</x:v>
      </x:c>
      <x:c r="D6" s="7" t="str">
        <x:v>精准</x:v>
      </x:c>
      <x:c r="E6" s="7" t="str">
        <x:v>核心品类与游戏意图</x:v>
      </x:c>
      <x:c r="F6" s="23" t="n">
        <x:v>0.25</x:v>
      </x:c>
      <x:c r="G6" s="21" t="str">
        <x:f>IF(ISNUMBER('参数与公式'!$B$12),'参数与公式'!$B$12*F6,"待输入")</x:f>
        <x:v>待输入</x:v>
      </x:c>
      <x:c r="H6" s="14"/>
      <x:c r="I6" s="14"/>
      <x:c r="J6" s="7" t="str">
        <x:v>仅降低（候选）</x:v>
      </x:c>
      <x:c r="K6" s="16"/>
      <x:c r="L6" s="7" t="str">
        <x:v>待库存、费用、预算与现有活动确认</x:v>
      </x:c>
      <x:c r="M6" s="7" t="str">
        <x:v>B0H5HKNFDM</x:v>
      </x:c>
    </x:row>
    <x:row r="7" ht="40" customHeight="1">
      <x:c r="A7" s="7" t="str">
        <x:v>首轮候选</x:v>
      </x:c>
      <x:c r="B7" s="7" t="str">
        <x:v>DE_YXWS900_SP_XXL_EX_PH_V1</x:v>
      </x:c>
      <x:c r="C7" s="7" t="str">
        <x:v>XXL_EX</x:v>
      </x:c>
      <x:c r="D7" s="7" t="str">
        <x:v>精准</x:v>
      </x:c>
      <x:c r="E7" s="7" t="str">
        <x:v>大尺寸与精确900规格</x:v>
      </x:c>
      <x:c r="F7" s="23" t="n">
        <x:v>0.35</x:v>
      </x:c>
      <x:c r="G7" s="21" t="str">
        <x:f>IF(ISNUMBER('参数与公式'!$B$12),'参数与公式'!$B$12*F7,"待输入")</x:f>
        <x:v>待输入</x:v>
      </x:c>
      <x:c r="H7" s="14"/>
      <x:c r="I7" s="14"/>
      <x:c r="J7" s="7" t="str">
        <x:v>仅降低（候选）</x:v>
      </x:c>
      <x:c r="K7" s="16"/>
      <x:c r="L7" s="7" t="str">
        <x:v>待库存、费用、预算与现有活动确认</x:v>
      </x:c>
      <x:c r="M7" s="7" t="str">
        <x:v>B0H5HKNFDM</x:v>
      </x:c>
    </x:row>
    <x:row r="8" ht="40" customHeight="1">
      <x:c r="A8" s="7" t="str">
        <x:v>首轮候选</x:v>
      </x:c>
      <x:c r="B8" s="7" t="str">
        <x:v>DE_YXWS900_SP_XXL_EX_PH_V1</x:v>
      </x:c>
      <x:c r="C8" s="7" t="str">
        <x:v>XXL_PH</x:v>
      </x:c>
      <x:c r="D8" s="7" t="str">
        <x:v>词组</x:v>
      </x:c>
      <x:c r="E8" s="7" t="str">
        <x:v>小范围相关词组探索，同活动预算</x:v>
      </x:c>
      <x:c r="F8" s="23"/>
      <x:c r="G8" s="21" t="str">
        <x:f>IF(ISNUMBER(G7),G7,"待输入")</x:f>
        <x:v>待输入</x:v>
      </x:c>
      <x:c r="H8" s="14" t="str">
        <x:f>IF(ISNUMBER(H7),H7,"待输入")</x:f>
        <x:v>待输入</x:v>
      </x:c>
      <x:c r="I8" s="14"/>
      <x:c r="J8" s="7" t="str">
        <x:v>仅降低（候选）</x:v>
      </x:c>
      <x:c r="K8" s="16"/>
      <x:c r="L8" s="7" t="str">
        <x:v>待库存、费用、预算与现有活动确认</x:v>
      </x:c>
      <x:c r="M8" s="7" t="str">
        <x:v>B0H5HKNFDM</x:v>
      </x:c>
    </x:row>
    <x:row r="9" ht="40" customHeight="1">
      <x:c r="A9" s="7" t="str">
        <x:v>首轮候选</x:v>
      </x:c>
      <x:c r="B9" s="7" t="str">
        <x:v>DE_YXWS900_SP_DESIGN_PH_V1</x:v>
      </x:c>
      <x:c r="C9" s="7" t="str">
        <x:v>DESIGN_PH</x:v>
      </x:c>
      <x:c r="D9" s="7" t="str">
        <x:v>词组</x:v>
      </x:c>
      <x:c r="E9" s="7" t="str">
        <x:v>日式武士图案假设验证</x:v>
      </x:c>
      <x:c r="F9" s="23" t="n">
        <x:v>0.15</x:v>
      </x:c>
      <x:c r="G9" s="21" t="str">
        <x:f>IF(ISNUMBER('参数与公式'!$B$12),'参数与公式'!$B$12*F9,"待输入")</x:f>
        <x:v>待输入</x:v>
      </x:c>
      <x:c r="H9" s="14"/>
      <x:c r="I9" s="14"/>
      <x:c r="J9" s="7" t="str">
        <x:v>仅降低（候选）</x:v>
      </x:c>
      <x:c r="K9" s="16"/>
      <x:c r="L9" s="7" t="str">
        <x:v>待库存、费用、预算与现有活动确认</x:v>
      </x:c>
      <x:c r="M9" s="7" t="str">
        <x:v>B0H5HKNFDM</x:v>
      </x:c>
    </x:row>
    <x:row r="10" ht="40" customHeight="1">
      <x:c r="A10" s="7" t="str">
        <x:v>首轮候选</x:v>
      </x:c>
      <x:c r="B10" s="7" t="str">
        <x:v>DE_YXWS900_SP_AUTO_V1</x:v>
      </x:c>
      <x:c r="C10" s="7" t="str">
        <x:v>AUTO</x:v>
      </x:c>
      <x:c r="D10" s="7" t="str">
        <x:v>自动</x:v>
      </x:c>
      <x:c r="E10" s="7" t="str">
        <x:v>发现真实查询和ASIN</x:v>
      </x:c>
      <x:c r="F10" s="23" t="n">
        <x:v>0.25</x:v>
      </x:c>
      <x:c r="G10" s="21" t="str">
        <x:f>IF(ISNUMBER('参数与公式'!$B$12),'参数与公式'!$B$12*F10,"待输入")</x:f>
        <x:v>待输入</x:v>
      </x:c>
      <x:c r="H10" s="14"/>
      <x:c r="I10" s="14"/>
      <x:c r="J10" s="7" t="str">
        <x:v>仅降低（候选）</x:v>
      </x:c>
      <x:c r="K10" s="16"/>
      <x:c r="L10" s="7" t="str">
        <x:v>待库存、费用、预算与现有活动确认</x:v>
      </x:c>
      <x:c r="M10" s="7" t="str">
        <x:v>B0H5HKNFDM</x:v>
      </x:c>
    </x:row>
    <x:row r="11" ht="40" customHeight="1">
      <x:c r="A11" s="7" t="str">
        <x:v>第二轮，待核验</x:v>
      </x:c>
      <x:c r="B11" s="7" t="str">
        <x:v>DE_YXWS900_SP_ASIN_PT_V2</x:v>
      </x:c>
      <x:c r="C11" s="7" t="str">
        <x:v>ART_DESKMAT_PT</x:v>
      </x:c>
      <x:c r="D11" s="7" t="str">
        <x:v>商品ASIN</x:v>
      </x:c>
      <x:c r="E11" s="7" t="str">
        <x:v>艺术桌垫竞品商品定向，当前核验后决定</x:v>
      </x:c>
      <x:c r="F11" s="23"/>
      <x:c r="G11" s="21" t="str">
        <x:v>待核验，不分配</x:v>
      </x:c>
      <x:c r="H11" s="14"/>
      <x:c r="I11" s="14"/>
      <x:c r="J11" s="7" t="str">
        <x:v>仅降低（候选）</x:v>
      </x:c>
      <x:c r="K11" s="16"/>
      <x:c r="L11" s="7" t="str">
        <x:v>待当前价、库存、规格核验，不投放</x:v>
      </x:c>
      <x:c r="M11" s="7" t="str">
        <x:v>B0H5HKNFDM</x:v>
      </x:c>
    </x:row>
    <x:row r="14" ht="24" customHeight="1">
      <x:c r="A14" s="1" t="str">
        <x:v>首轮四活动候选合计</x:v>
      </x:c>
      <x:c r="B14" s="1"/>
      <x:c r="C14" s="1"/>
      <x:c r="D14" s="1"/>
      <x:c r="E14" s="1"/>
      <x:c r="F14" s="1"/>
      <x:c r="G14" s="29" t="str">
        <x:f>IF(COUNT(G6:G7,G9:G10)&lt;4,"待输入",SUM(G6:G7,G9:G10))</x:f>
        <x:v>待输入</x:v>
      </x:c>
      <x:c r="H14" s="1"/>
      <x:c r="I14" s="1"/>
      <x:c r="J14" s="1"/>
      <x:c r="K14" s="1"/>
      <x:c r="L14" s="1"/>
      <x:c r="M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4" customHeight="1">
      <x:c r="A16" s="1" t="str">
        <x:v>XXL_EX与XXL_PH共用同一活动预算，合计不重复计入词组行。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4" customHeight="1">
      <x:c r="A17" s="1" t="str">
        <x:v>公式经济CPC只提供讨论依据。实际基础bid、位置和动态加价分别核对并输入。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</x:sheetData>
  <x:pageMargins left="0.7" right="0.7" top="0.75" bottom="0.75" header="0.3" footer="0.3"/>
  <x:tableParts count="1">
    <x:tablePart xmlns:r="http://schemas.openxmlformats.org/officeDocument/2006/relationships" r:id="Rbb1d9c3b252147fd"/>
  </x:tableParts>
</x:worksheet>
</file>

<file path=xl/worksheets/sheet2.xml><?xml version="1.0" encoding="utf-8"?>
<x:worksheet xmlns:x="http://schemas.openxmlformats.org/spreadsheetml/2006/main">
  <x:sheetPr>
    <x:tabColor rgb="FF6883A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66" hidden="0" customWidth="1"/>
    <x:col min="5" max="5" width="47" hidden="0" customWidth="1"/>
    <x:col min="6" max="6" width="23" hidden="0" customWidth="1"/>
  </x:cols>
  <x:sheetData>
    <x:row r="1" ht="8" customHeight="1">
      <x:c r="A1" s="1"/>
      <x:c r="B1" s="1"/>
      <x:c r="C1" s="1"/>
      <x:c r="D1" s="1"/>
      <x:c r="E1" s="1"/>
      <x:c r="F1" s="1"/>
    </x:row>
    <x:row r="2" ht="27" customHeight="1">
      <x:c r="A2" s="3" t="str">
        <x:v>广告参数与经济上限</x:v>
      </x:c>
      <x:c r="B2" s="4"/>
      <x:c r="C2" s="4"/>
      <x:c r="D2" s="4"/>
      <x:c r="E2" s="4"/>
      <x:c r="F2" s="4"/>
    </x:row>
    <x:row r="3" ht="20" customHeight="1">
      <x:c r="A3" s="5" t="str">
        <x:v>900 × 400 × 3 mm    ASIN B0H5HKNFDM    DE / EUR    2026-10-04</x:v>
      </x:c>
      <x:c r="B3" s="5"/>
      <x:c r="C3" s="5"/>
      <x:c r="D3" s="5"/>
      <x:c r="E3" s="5"/>
      <x:c r="F3" s="5"/>
    </x:row>
    <x:row r="4" ht="20" customHeight="1">
      <x:c r="A4" s="5" t="str">
        <x:v>浅黄色为空白输入。广告归因收入与利润实收收入分别填写，先核对同一ASIN和成交口径。</x:v>
      </x:c>
      <x:c r="B4" s="5"/>
      <x:c r="C4" s="5"/>
      <x:c r="D4" s="5"/>
      <x:c r="E4" s="5"/>
      <x:c r="F4" s="5"/>
    </x:row>
    <x:row r="5" ht="42" customHeight="1">
      <x:c r="A5" s="10" t="str">
        <x:v>参数</x:v>
      </x:c>
      <x:c r="B5" s="10" t="str">
        <x:v>输入值</x:v>
      </x:c>
      <x:c r="C5" s="10" t="str">
        <x:v>单位</x:v>
      </x:c>
      <x:c r="D5" s="10" t="str">
        <x:v>口径与用途</x:v>
      </x:c>
      <x:c r="E5" s="10" t="str">
        <x:v>所需依据</x:v>
      </x:c>
      <x:c r="F5" s="10" t="str">
        <x:v>负责人</x:v>
      </x:c>
    </x:row>
    <x:row r="6" ht="30" customHeight="1">
      <x:c r="A6" s="7" t="str">
        <x:v>当前商品标价</x:v>
      </x:c>
      <x:c r="B6" s="14"/>
      <x:c r="C6" s="24" t="str">
        <x:v>EUR</x:v>
      </x:c>
      <x:c r="D6" s="7" t="str">
        <x:v>报价及当前优惠快照。历史18.99不是当前售价。</x:v>
      </x:c>
      <x:c r="E6" s="7" t="str">
        <x:v>当前后台报价</x:v>
      </x:c>
      <x:c r="F6" s="7"/>
    </x:row>
    <x:row r="7" ht="30" customHeight="1">
      <x:c r="A7" s="7" t="str">
        <x:v>利润口径每单净收入</x:v>
      </x:c>
      <x:c r="B7" s="14"/>
      <x:c r="C7" s="24" t="str">
        <x:v>EUR</x:v>
      </x:c>
      <x:c r="D7" s="7" t="str">
        <x:v>实际收入按已确认税、折扣、退款口径填写。</x:v>
      </x:c>
      <x:c r="E7" s="7" t="str">
        <x:v>订单实收或财务模型</x:v>
      </x:c>
      <x:c r="F7" s="7"/>
    </x:row>
    <x:row r="8" ht="30" customHeight="1">
      <x:c r="A8" s="7" t="str">
        <x:v>每单变动成本</x:v>
      </x:c>
      <x:c r="B8" s="14"/>
      <x:c r="C8" s="24" t="str">
        <x:v>EUR</x:v>
      </x:c>
      <x:c r="D8" s="7" t="str">
        <x:v>采购、物流、佣金、履约、优惠及预期退货等。</x:v>
      </x:c>
      <x:c r="E8" s="7" t="str">
        <x:v>财务确认，避免优惠重复扣减</x:v>
      </x:c>
      <x:c r="F8" s="7"/>
    </x:row>
    <x:row r="9" ht="30" customHeight="1">
      <x:c r="A9" s="7" t="str">
        <x:v>广告归因口径每单成交收入</x:v>
      </x:c>
      <x:c r="B9" s="14"/>
      <x:c r="C9" s="24" t="str">
        <x:v>EUR</x:v>
      </x:c>
      <x:c r="D9" s="7" t="str">
        <x:v>与广告销售额及订单口径一致。不能默认等于标价或利润实收。</x:v>
      </x:c>
      <x:c r="E9" s="7" t="str">
        <x:v>归因成熟报告的销售额÷订单</x:v>
      </x:c>
      <x:c r="F9" s="7"/>
    </x:row>
    <x:row r="10" ht="30" customHeight="1">
      <x:c r="A10" s="7" t="str">
        <x:v>目标ACoS</x:v>
      </x:c>
      <x:c r="B10" s="16"/>
      <x:c r="C10" s="24" t="str">
        <x:v>%</x:v>
      </x:c>
      <x:c r="D10" s="7" t="str">
        <x:v>阶段目标，结合利润及允许的测试亏损确认。</x:v>
      </x:c>
      <x:c r="E10" s="7" t="str">
        <x:v>经营目标，不默认25%</x:v>
      </x:c>
      <x:c r="F10" s="7"/>
    </x:row>
    <x:row r="11" ht="30" customHeight="1">
      <x:c r="A11" s="7" t="str">
        <x:v>估计广告CVR</x:v>
      </x:c>
      <x:c r="B11" s="16"/>
      <x:c r="C11" s="24" t="str">
        <x:v>%</x:v>
      </x:c>
      <x:c r="D11" s="7" t="str">
        <x:v>本ASIN广告订单÷点击，或明确标注的待验证假设。</x:v>
      </x:c>
      <x:c r="E11" s="7" t="str">
        <x:v>不能用全变体流量转化率</x:v>
      </x:c>
      <x:c r="F11" s="7"/>
    </x:row>
    <x:row r="12" ht="30" customHeight="1">
      <x:c r="A12" s="7" t="str">
        <x:v>已确认总平均日预算</x:v>
      </x:c>
      <x:c r="B12" s="14"/>
      <x:c r="C12" s="24" t="str">
        <x:v>EUR/日</x:v>
      </x:c>
      <x:c r="D12" s="7" t="str">
        <x:v>本轮首测四活动的平均日预算。并非单日硬上限。</x:v>
      </x:c>
      <x:c r="E12" s="7" t="str">
        <x:v>负责人确认，结合账户预算规则</x:v>
      </x:c>
      <x:c r="F12" s="7"/>
    </x:row>
    <x:row r="13" ht="30" customHeight="1">
      <x:c r="A13" s="7" t="str">
        <x:v>最大14天测试总额</x:v>
      </x:c>
      <x:c r="B13" s="14"/>
      <x:c r="C13" s="24" t="str">
        <x:v>EUR</x:v>
      </x:c>
      <x:c r="D13" s="7" t="str">
        <x:v>累计花费限额，独立于平均日预算配置。</x:v>
      </x:c>
      <x:c r="E13" s="7" t="str">
        <x:v>负责人确认</x:v>
      </x:c>
      <x:c r="F13" s="7"/>
    </x:row>
    <x:row r="14" ht="30" customHeight="1">
      <x:c r="A14" s="7" t="str">
        <x:v>当前可售库存</x:v>
      </x:c>
      <x:c r="B14" s="18"/>
      <x:c r="C14" s="24" t="str">
        <x:v>件</x:v>
      </x:c>
      <x:c r="D14" s="7" t="str">
        <x:v>仅本轮900版ASIN的当前可售库存。</x:v>
      </x:c>
      <x:c r="E14" s="7" t="str">
        <x:v>当前库存快照</x:v>
      </x:c>
      <x:c r="F14" s="7"/>
    </x:row>
    <x:row r="15" ht="30" customHeight="1">
      <x:c r="A15" s="7" t="str">
        <x:v>预计补货日期</x:v>
      </x:c>
      <x:c r="B15" s="19"/>
      <x:c r="C15" s="24" t="str">
        <x:v>日期</x:v>
      </x:c>
      <x:c r="D15" s="7" t="str">
        <x:v>预计恢复可售时间，不用发货日期代替。</x:v>
      </x:c>
      <x:c r="E15" s="7" t="str">
        <x:v>供应链确认</x:v>
      </x:c>
      <x:c r="F15" s="7"/>
    </x:row>
    <x:row r="16" ht="30" customHeight="1">
      <x:c r="A16" s="7" t="str">
        <x:v>实际CPC</x:v>
      </x:c>
      <x:c r="B16" s="14"/>
      <x:c r="C16" s="24" t="str">
        <x:v>EUR/点击</x:v>
      </x:c>
      <x:c r="D16" s="7" t="str">
        <x:v>本ASIN、同一期间广告花费÷点击。</x:v>
      </x:c>
      <x:c r="E16" s="7" t="str">
        <x:v>原始广告报告</x:v>
      </x:c>
      <x:c r="F16" s="7"/>
    </x:row>
    <x:row r="17" ht="30" customHeight="1">
      <x:c r="A17" s="7" t="str">
        <x:v>实际广告CVR</x:v>
      </x:c>
      <x:c r="B17" s="16"/>
      <x:c r="C17" s="24" t="str">
        <x:v>%</x:v>
      </x:c>
      <x:c r="D17" s="7" t="str">
        <x:v>本ASIN同口径归因成熟订单÷点击。</x:v>
      </x:c>
      <x:c r="E17" s="7" t="str">
        <x:v>原始广告报告及归因窗口</x:v>
      </x:c>
      <x:c r="F17" s="7"/>
    </x:row>
    <x:row r="18" ht="30" customHeight="1">
      <x:c r="A18" s="7" t="str">
        <x:v>收入及产品口径对齐情况</x:v>
      </x:c>
      <x:c r="B18" s="12"/>
      <x:c r="C18" s="24" t="str">
        <x:v>状态</x:v>
      </x:c>
      <x:c r="D18" s="7" t="str">
        <x:v>确认广告成交收入、利润成本和CVR对应同一产品与订单范围。</x:v>
      </x:c>
      <x:c r="E18" s="7" t="str">
        <x:v>选择已核对或待核对</x:v>
      </x:c>
      <x:c r="F18" s="7"/>
    </x:row>
    <x:row r="19" ht="30" customHeight="1">
      <x:c r="A19" s="7" t="str">
        <x:v>估计CVR来源</x:v>
      </x:c>
      <x:c r="B19" s="12"/>
      <x:c r="C19" s="24" t="str">
        <x:v>类别</x:v>
      </x:c>
      <x:c r="D19" s="7" t="str">
        <x:v>选择本ASIN实测或待验证假设，并保留期间和依据。</x:v>
      </x:c>
      <x:c r="E19" s="7" t="str">
        <x:v>本ASIN实测 / 待验证假设</x:v>
      </x:c>
      <x:c r="F19" s="7"/>
    </x:row>
    <x:row r="20" ht="30" customHeight="1">
      <x:c r="A20" s="7" t="str">
        <x:v>最大允许测试亏损</x:v>
      </x:c>
      <x:c r="B20" s="14"/>
      <x:c r="C20" s="24" t="str">
        <x:v>EUR</x:v>
      </x:c>
      <x:c r="D20" s="7" t="str">
        <x:v>新品阶段可承受的亏损金额与期限。</x:v>
      </x:c>
      <x:c r="E20" s="7" t="str">
        <x:v>经营负责人确认</x:v>
      </x:c>
      <x:c r="F20" s="7"/>
    </x:row>
    <x:row r="21" ht="30" customHeight="1">
      <x:c r="A21" s="7" t="str">
        <x:v>竞价调整阶梯及最高限</x:v>
      </x:c>
      <x:c r="B21" s="12"/>
      <x:c r="C21" s="24" t="str">
        <x:v>规则</x:v>
      </x:c>
      <x:c r="D21" s="7" t="str">
        <x:v>按实际CPC、建议区间、相关性和测试预算制定。</x:v>
      </x:c>
      <x:c r="E21" s="7" t="str">
        <x:v>不照搬旧护托0.32→0.38</x:v>
      </x:c>
      <x:c r="F21" s="7"/>
    </x:row>
    <x:row r="22" ht="30" customHeight="1">
      <x:c r="A22" s="7" t="str">
        <x:v>归因窗口与报告周期</x:v>
      </x:c>
      <x:c r="B22" s="12"/>
      <x:c r="C22" s="24" t="str">
        <x:v>说明</x:v>
      </x:c>
      <x:c r="D22" s="7" t="str">
        <x:v>按账户、广告类型与指标字段核对，记录导出时间。</x:v>
      </x:c>
      <x:c r="E22" s="7" t="str">
        <x:v>当前广告报表说明</x:v>
      </x:c>
      <x:c r="F22" s="7"/>
    </x:row>
    <x:row r="23" ht="30" customHeight="1">
      <x:c r="A23" s="7" t="str">
        <x:v>现有活动导出</x:v>
      </x:c>
      <x:c r="B23" s="12"/>
      <x:c r="C23" s="24" t="str">
        <x:v>资料</x:v>
      </x:c>
      <x:c r="D23" s="7" t="str">
        <x:v>活动ID、关键词、竞价、预算、位置调整、否词及状态。</x:v>
      </x:c>
      <x:c r="E23" s="7" t="str">
        <x:v>避免重复搭建</x:v>
      </x:c>
      <x:c r="F23" s="7"/>
    </x:row>
    <x:row r="24" ht="30" customHeight="1">
      <x:c r="A24" s="7" t="str">
        <x:v>执行负责人及授权范围</x:v>
      </x:c>
      <x:c r="B24" s="12"/>
      <x:c r="C24" s="24" t="str">
        <x:v>说明</x:v>
      </x:c>
      <x:c r="D24" s="7" t="str">
        <x:v>站点、ASIN、动作、预算范围及变更上限。</x:v>
      </x:c>
      <x:c r="E24" s="7" t="str">
        <x:v>本工作簿尚未执行投放</x:v>
      </x:c>
      <x:c r="F24" s="7"/>
    </x:row>
    <x:row r="28" ht="42" customHeight="1">
      <x:c r="A28" s="10" t="str">
        <x:v>计算指标</x:v>
      </x:c>
      <x:c r="B28" s="10" t="str">
        <x:v>公式结果</x:v>
      </x:c>
      <x:c r="C28" s="10" t="str">
        <x:v>单位</x:v>
      </x:c>
      <x:c r="D28" s="10" t="str">
        <x:v>解释</x:v>
      </x:c>
      <x:c r="E28" s="10" t="str">
        <x:v>依据</x:v>
      </x:c>
      <x:c r="F28" s="10" t="str">
        <x:v>备注</x:v>
      </x:c>
    </x:row>
    <x:row r="29" ht="30" customHeight="1">
      <x:c r="A29" s="7" t="str">
        <x:v>广告前贡献毛利</x:v>
      </x:c>
      <x:c r="B29" s="21" t="str">
        <x:f>IF(COUNT(B7:B8)&lt;2,"待输入",B7-B8)</x:f>
        <x:v>待输入</x:v>
      </x:c>
      <x:c r="C29" s="24" t="str">
        <x:v>EUR/单</x:v>
      </x:c>
      <x:c r="D29" s="7" t="str">
        <x:v>利润口径净收入－每单变动成本。</x:v>
      </x:c>
      <x:c r="E29" s="7"/>
      <x:c r="F29" s="7"/>
    </x:row>
    <x:row r="30" ht="30" customHeight="1">
      <x:c r="A30" s="7" t="str">
        <x:v>利润实收口径贡献毛利率</x:v>
      </x:c>
      <x:c r="B30" s="23" t="str">
        <x:f>IF(COUNT(B7,B29)&lt;2,"待输入",IF(B7&gt;0,B29/B7,"检查净收入"))</x:f>
        <x:v>待输入</x:v>
      </x:c>
      <x:c r="C30" s="24" t="str">
        <x:v>%</x:v>
      </x:c>
      <x:c r="D30" s="7" t="str">
        <x:v>贡献毛利÷利润口径每单净收入。</x:v>
      </x:c>
      <x:c r="E30" s="7"/>
      <x:c r="F30" s="7"/>
    </x:row>
    <x:row r="31" ht="30" customHeight="1">
      <x:c r="A31" s="7" t="str">
        <x:v>广告报表口径盈亏平衡ACoS</x:v>
      </x:c>
      <x:c r="B31" s="23" t="str">
        <x:f>IF(COUNT(B9,B29)&lt;2,"待输入",IF(B18&lt;&gt;"已核对","待核对口径",IF(B9&gt;0,B29/B9,"检查广告收入")))</x:f>
        <x:v>待输入</x:v>
      </x:c>
      <x:c r="C31" s="24" t="str">
        <x:v>%</x:v>
      </x:c>
      <x:c r="D31" s="7" t="str">
        <x:v>贡献毛利÷广告归因口径每单成交收入，必须先完成口径对齐。</x:v>
      </x:c>
      <x:c r="E31" s="7"/>
      <x:c r="F31" s="7"/>
    </x:row>
    <x:row r="32" ht="40" customHeight="1">
      <x:c r="A32" s="7" t="str">
        <x:v>按目标ACoS计算的经济CPC</x:v>
      </x:c>
      <x:c r="B32" s="21" t="str">
        <x:f>IF(COUNT(B9:B11)&lt;3,"待输入",IF(B19="","补CVR依据",IF(AND(B9&gt;0,B10&gt;=0,B10&lt;=1,B11&gt;=0,B11&lt;=1),PRODUCT(B9:B11),"检查输入")))</x:f>
        <x:v>待输入</x:v>
      </x:c>
      <x:c r="C32" s="24" t="str">
        <x:v>EUR/点击</x:v>
      </x:c>
      <x:c r="D32" s="7" t="str">
        <x:v>广告成交口径收入×目标ACoS×估计CVR。不是最终bid，不含位置或动态加价。</x:v>
      </x:c>
      <x:c r="E32" s="7"/>
      <x:c r="F32" s="7"/>
    </x:row>
    <x:row r="33" ht="30" customHeight="1">
      <x:c r="A33" s="7" t="str">
        <x:v>盈亏平衡CPC</x:v>
      </x:c>
      <x:c r="B33" s="21" t="str">
        <x:f>IF(COUNT(B11,B29)&lt;2,"待输入",IF(B18&lt;&gt;"已核对","待核对口径",IF(AND(B11&gt;=0,B11&lt;=1),B29*B11,"检查CVR")))</x:f>
        <x:v>待输入</x:v>
      </x:c>
      <x:c r="C33" s="24" t="str">
        <x:v>EUR/点击</x:v>
      </x:c>
      <x:c r="D33" s="7" t="str">
        <x:v>贡献毛利×估计CVR，按同ASIN和订单范围核对。</x:v>
      </x:c>
      <x:c r="E33" s="7"/>
      <x:c r="F33" s="7"/>
    </x:row>
    <x:row r="34" ht="30" customHeight="1">
      <x:c r="A34" s="7" t="str">
        <x:v>14天候选预算需求</x:v>
      </x:c>
      <x:c r="B34" s="21" t="str">
        <x:f>IF(ISNUMBER(B12),B12*14,"待输入")</x:f>
        <x:v>待输入</x:v>
      </x:c>
      <x:c r="C34" s="24" t="str">
        <x:v>EUR</x:v>
      </x:c>
      <x:c r="D34" s="7" t="str">
        <x:v>已确认平均日预算×14天。实际花费还受账户预算规则影响。</x:v>
      </x:c>
      <x:c r="E34" s="7"/>
      <x:c r="F34" s="7"/>
    </x:row>
    <x:row r="35" ht="30" customHeight="1">
      <x:c r="A35" s="7" t="str">
        <x:v>测试总额覆盖情况</x:v>
      </x:c>
      <x:c r="B35" s="7" t="str">
        <x:f>IF(COUNT(B13,B34)&lt;2,"待输入",IF(B13&gt;=B34,"可覆盖预算估算","调整预算或缩短测试"))</x:f>
        <x:v>待输入</x:v>
      </x:c>
      <x:c r="C35" s="24" t="str">
        <x:v>说明</x:v>
      </x:c>
      <x:c r="D35" s="7" t="str">
        <x:v>比较最大测试总额与14天预算估算，仍需核对库存。</x:v>
      </x:c>
      <x:c r="E35" s="7"/>
      <x:c r="F35" s="7"/>
    </x:row>
  </x:sheetData>
  <x:dataValidations count="2">
    <x:dataValidation type="list" sqref="B18">
      <x:formula1>"待核对,已核对"</x:formula1>
    </x:dataValidation>
    <x:dataValidation type="list" sqref="B19">
      <x:formula1>"本ASIN实测,待验证假设"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40ab932374f4f39"/>
    <x:tablePart xmlns:r="http://schemas.openxmlformats.org/officeDocument/2006/relationships" r:id="Rb276516eb2e84d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" hidden="0" customWidth="1"/>
    <x:col min="2" max="2" width="44" hidden="0" customWidth="1"/>
    <x:col min="3" max="3" width="21" hidden="0" customWidth="1"/>
    <x:col min="4" max="4" width="32" hidden="0" customWidth="1"/>
    <x:col min="5" max="5" width="14" hidden="0" customWidth="1"/>
    <x:col min="6" max="6" width="26" hidden="0" customWidth="1"/>
    <x:col min="7" max="7" width="18" hidden="0" customWidth="1"/>
    <x:col min="8" max="8" width="19" hidden="0" customWidth="1"/>
    <x:col min="9" max="9" width="19" hidden="0" customWidth="1"/>
    <x:col min="10" max="10" width="26" hidden="0" customWidth="1"/>
    <x:col min="11" max="11" width="24" hidden="0" customWidth="1"/>
    <x:col min="12" max="12" width="48" hidden="0" customWidth="1"/>
    <x:col min="13" max="13" width="73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7" customHeight="1">
      <x:c r="A2" s="3" t="str">
        <x:v>本轮22关键词与4自动组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0" customHeight="1">
      <x:c r="A3" s="5" t="str">
        <x:v>900 × 400 × 3 mm    ASIN B0H5HKNFDM    DE / EUR    2026-10-04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0" customHeight="1">
      <x:c r="A4" s="5" t="str">
        <x:v>所有对象为设计候选，当前真实CPC、预算和归因数据未取得。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42" customHeight="1">
      <x:c r="A5" s="10" t="str">
        <x:v>ID</x:v>
      </x:c>
      <x:c r="B5" s="10" t="str">
        <x:v>活动</x:v>
      </x:c>
      <x:c r="C5" s="10" t="str">
        <x:v>广告组</x:v>
      </x:c>
      <x:c r="D5" s="10" t="str">
        <x:v>投放对象</x:v>
      </x:c>
      <x:c r="E5" s="10" t="str">
        <x:v>匹配</x:v>
      </x:c>
      <x:c r="F5" s="10" t="str">
        <x:v>数据性质</x:v>
      </x:c>
      <x:c r="G5" s="10" t="str">
        <x:v>2025W46频率排名</x:v>
      </x:c>
      <x:c r="H5" s="10" t="str">
        <x:v>建议基础bid EUR</x:v>
      </x:c>
      <x:c r="I5" s="10" t="str">
        <x:v>实际基础bid EUR</x:v>
      </x:c>
      <x:c r="J5" s="10" t="str">
        <x:v>候选状态</x:v>
      </x:c>
      <x:c r="K5" s="10" t="str">
        <x:v>人工决定</x:v>
      </x:c>
      <x:c r="L5" s="10" t="str">
        <x:v>依据</x:v>
      </x:c>
      <x:c r="M5" s="10" t="str">
        <x:v>来源文件及行</x:v>
      </x:c>
    </x:row>
    <x:row r="6" ht="40" customHeight="1">
      <x:c r="A6" s="7" t="str">
        <x:v>T001</x:v>
      </x:c>
      <x:c r="B6" s="7" t="str">
        <x:v>DE_YXWS900_SP_CORE_EX_V1</x:v>
      </x:c>
      <x:c r="C6" s="7" t="str">
        <x:v>CORE_EX</x:v>
      </x:c>
      <x:c r="D6" s="7" t="str">
        <x:v>mauspad</x:v>
      </x:c>
      <x:c r="E6" s="7" t="str">
        <x:v>精准</x:v>
      </x:c>
      <x:c r="F6" s="7" t="str">
        <x:v>输入词库候选</x:v>
      </x:c>
      <x:c r="G6" s="31" t="n">
        <x:v>308</x:v>
      </x:c>
      <x:c r="H6" s="14"/>
      <x:c r="I6" s="14"/>
      <x:c r="J6" s="7" t="str">
        <x:v>启用候选，未执行</x:v>
      </x:c>
      <x:c r="K6" s="12"/>
      <x:c r="L6" s="7" t="str">
        <x:v>品类/桌面使用相关；宽泛桌垫词需小范围测试</x:v>
      </x:c>
      <x:c r="M6" s="7" t="str">
        <x:v>鼠标垫关键词.xlsx / Sheet1 行2
DE_Top_search_terms_Simple_Week_2025_11_15.xlsx / DE_Top_search_terms_Simple_Week 行3
鼠标垫推广跟进表格-2025.08.16.xlsx / 关键词词库-90 40 行2,16
鼠标垫推广跟进表格-2025.08.16.xlsx / 2026.08.07梳理ST关键词 行2
鼠标垫推广跟进表格-2025.08.16.xlsx / 关键词词库-小尺寸加护托 行2</x:v>
      </x:c>
    </x:row>
    <x:row r="7" ht="40" customHeight="1">
      <x:c r="A7" s="7" t="str">
        <x:v>T002</x:v>
      </x:c>
      <x:c r="B7" s="7" t="str">
        <x:v>DE_YXWS900_SP_CORE_EX_V1</x:v>
      </x:c>
      <x:c r="C7" s="7" t="str">
        <x:v>CORE_EX</x:v>
      </x:c>
      <x:c r="D7" s="7" t="str">
        <x:v>mousepad</x:v>
      </x:c>
      <x:c r="E7" s="7" t="str">
        <x:v>精准</x:v>
      </x:c>
      <x:c r="F7" s="7" t="str">
        <x:v>输入词库候选</x:v>
      </x:c>
      <x:c r="G7" s="31" t="n">
        <x:v>700</x:v>
      </x:c>
      <x:c r="H7" s="14"/>
      <x:c r="I7" s="14"/>
      <x:c r="J7" s="7" t="str">
        <x:v>启用候选，未执行</x:v>
      </x:c>
      <x:c r="K7" s="12"/>
      <x:c r="L7" s="7" t="str">
        <x:v>品类/桌面使用相关；宽泛桌垫词需小范围测试</x:v>
      </x:c>
      <x:c r="M7" s="7" t="str">
        <x:v>鼠标垫关键词.xlsx / Sheet1 行3
DE_Top_search_terms_Simple_Week_2025_11_15.xlsx / DE_Top_search_terms_Simple_Week 行4
鼠标垫推广跟进表格-2025.08.16.xlsx / 关键词词库-90 40 行3,24
鼠标垫推广跟进表格-2025.08.16.xlsx / 2026.08.07梳理ST关键词 行3
鼠标垫推广跟进表格-2025.08.16.xlsx / 关键词词库-小尺寸加护托 行3</x:v>
      </x:c>
    </x:row>
    <x:row r="8" ht="40" customHeight="1">
      <x:c r="A8" s="7" t="str">
        <x:v>T003</x:v>
      </x:c>
      <x:c r="B8" s="7" t="str">
        <x:v>DE_YXWS900_SP_CORE_EX_V1</x:v>
      </x:c>
      <x:c r="C8" s="7" t="str">
        <x:v>CORE_EX</x:v>
      </x:c>
      <x:c r="D8" s="7" t="str">
        <x:v>mouse pad</x:v>
      </x:c>
      <x:c r="E8" s="7" t="str">
        <x:v>精准</x:v>
      </x:c>
      <x:c r="F8" s="7" t="str">
        <x:v>输入词库候选</x:v>
      </x:c>
      <x:c r="G8" s="31" t="n">
        <x:v>9642</x:v>
      </x:c>
      <x:c r="H8" s="14"/>
      <x:c r="I8" s="14"/>
      <x:c r="J8" s="7" t="str">
        <x:v>启用候选，未执行</x:v>
      </x:c>
      <x:c r="K8" s="12"/>
      <x:c r="L8" s="7" t="str">
        <x:v>品类/桌面使用相关；宽泛桌垫词需小范围测试</x:v>
      </x:c>
      <x:c r="M8" s="7" t="str">
        <x:v>鼠标垫关键词.xlsx / Sheet1 行8
DE_Top_search_terms_Simple_Week_2025_11_15.xlsx / DE_Top_search_terms_Simple_Week 行9
鼠标垫推广跟进表格-2025.08.16.xlsx / 2026.08.07梳理ST关键词 行4
鼠标垫推广跟进表格-2025.08.16.xlsx / 关键词词库-小尺寸加护托 行4</x:v>
      </x:c>
    </x:row>
    <x:row r="9" ht="40" customHeight="1">
      <x:c r="A9" s="7" t="str">
        <x:v>T004</x:v>
      </x:c>
      <x:c r="B9" s="7" t="str">
        <x:v>DE_YXWS900_SP_CORE_EX_V1</x:v>
      </x:c>
      <x:c r="C9" s="7" t="str">
        <x:v>CORE_EX</x:v>
      </x:c>
      <x:c r="D9" s="7" t="str">
        <x:v>gaming mauspad</x:v>
      </x:c>
      <x:c r="E9" s="7" t="str">
        <x:v>精准</x:v>
      </x:c>
      <x:c r="F9" s="7" t="str">
        <x:v>输入词库候选</x:v>
      </x:c>
      <x:c r="G9" s="31" t="n">
        <x:v>5937</x:v>
      </x:c>
      <x:c r="H9" s="14"/>
      <x:c r="I9" s="14"/>
      <x:c r="J9" s="7" t="str">
        <x:v>启用候选，未执行</x:v>
      </x:c>
      <x:c r="K9" s="12"/>
      <x:c r="L9" s="7" t="str">
        <x:v>游戏使用场景，不表示已验证专业性能</x:v>
      </x:c>
      <x:c r="M9" s="7" t="str">
        <x:v>鼠标垫关键词.xlsx / Sheet1 行6
DE_Top_search_terms_Simple_Week_2025_11_15.xlsx / DE_Top_search_terms_Simple_Week 行7
鼠标垫推广跟进表格-2025.08.16.xlsx / 关键词词库-90 40 行87
鼠标垫推广跟进表格-2025.08.16.xlsx / 2026.08.07梳理ST关键词 行2</x:v>
      </x:c>
    </x:row>
    <x:row r="10" ht="40" customHeight="1">
      <x:c r="A10" s="7" t="str">
        <x:v>T005</x:v>
      </x:c>
      <x:c r="B10" s="7" t="str">
        <x:v>DE_YXWS900_SP_CORE_EX_V1</x:v>
      </x:c>
      <x:c r="C10" s="7" t="str">
        <x:v>CORE_EX</x:v>
      </x:c>
      <x:c r="D10" s="7" t="str">
        <x:v>mauspad gaming</x:v>
      </x:c>
      <x:c r="E10" s="7" t="str">
        <x:v>精准</x:v>
      </x:c>
      <x:c r="F10" s="7" t="str">
        <x:v>输入词库候选</x:v>
      </x:c>
      <x:c r="G10" s="31" t="n">
        <x:v>6302</x:v>
      </x:c>
      <x:c r="H10" s="14"/>
      <x:c r="I10" s="14"/>
      <x:c r="J10" s="7" t="str">
        <x:v>启用候选，未执行</x:v>
      </x:c>
      <x:c r="K10" s="12"/>
      <x:c r="L10" s="7" t="str">
        <x:v>游戏使用场景，不表示已验证专业性能</x:v>
      </x:c>
      <x:c r="M10" s="7" t="str">
        <x:v>鼠标垫关键词.xlsx / Sheet1 行7
DE_Top_search_terms_Simple_Week_2025_11_15.xlsx / DE_Top_search_terms_Simple_Week 行8
鼠标垫推广跟进表格-2025.08.16.xlsx / 关键词词库-90 40 行18,88
鼠标垫推广跟进表格-2025.08.16.xlsx / 关键词词库-小尺寸加护托 行79</x:v>
      </x:c>
    </x:row>
    <x:row r="11" ht="40" customHeight="1">
      <x:c r="A11" s="7" t="str">
        <x:v>T006</x:v>
      </x:c>
      <x:c r="B11" s="7" t="str">
        <x:v>DE_YXWS900_SP_XXL_EX_PH_V1</x:v>
      </x:c>
      <x:c r="C11" s="7" t="str">
        <x:v>XXL_EX</x:v>
      </x:c>
      <x:c r="D11" s="7" t="str">
        <x:v>mauspad xxl</x:v>
      </x:c>
      <x:c r="E11" s="7" t="str">
        <x:v>精准</x:v>
      </x:c>
      <x:c r="F11" s="7" t="str">
        <x:v>输入词库候选</x:v>
      </x:c>
      <x:c r="G11" s="31" t="n">
        <x:v>2941</x:v>
      </x:c>
      <x:c r="H11" s="14"/>
      <x:c r="I11" s="14"/>
      <x:c r="J11" s="7" t="str">
        <x:v>启用候选，未执行</x:v>
      </x:c>
      <x:c r="K11" s="12"/>
      <x:c r="L11" s="7" t="str">
        <x:v>大桌垫相关；超大规格用词不替代明确尺寸</x:v>
      </x:c>
      <x:c r="M11" s="7" t="str">
        <x:v>鼠标垫关键词.xlsx / Sheet1 行4
DE_Top_search_terms_Simple_Week_2025_11_15.xlsx / DE_Top_search_terms_Simple_Week 行5
鼠标垫推广跟进表格-2025.08.16.xlsx / 关键词词库-90 40 行17,47
鼠标垫推广跟进表格-2025.08.16.xlsx / 2026.08.07梳理ST关键词 行71
鼠标垫推广跟进表格-2025.08.16.xlsx / 关键词词库-小尺寸加护托 行77</x:v>
      </x:c>
    </x:row>
    <x:row r="12" ht="40" customHeight="1">
      <x:c r="A12" s="7" t="str">
        <x:v>T007</x:v>
      </x:c>
      <x:c r="B12" s="7" t="str">
        <x:v>DE_YXWS900_SP_XXL_EX_PH_V1</x:v>
      </x:c>
      <x:c r="C12" s="7" t="str">
        <x:v>XXL_EX</x:v>
      </x:c>
      <x:c r="D12" s="7" t="str">
        <x:v>mousepad xxl</x:v>
      </x:c>
      <x:c r="E12" s="7" t="str">
        <x:v>精准</x:v>
      </x:c>
      <x:c r="F12" s="7" t="str">
        <x:v>输入词库候选</x:v>
      </x:c>
      <x:c r="G12" s="31" t="n">
        <x:v>4597</x:v>
      </x:c>
      <x:c r="H12" s="14"/>
      <x:c r="I12" s="14"/>
      <x:c r="J12" s="7" t="str">
        <x:v>启用候选，未执行</x:v>
      </x:c>
      <x:c r="K12" s="12"/>
      <x:c r="L12" s="7" t="str">
        <x:v>大桌垫相关；超大规格用词不替代明确尺寸</x:v>
      </x:c>
      <x:c r="M12" s="7" t="str">
        <x:v>鼠标垫关键词.xlsx / Sheet1 行5
DE_Top_search_terms_Simple_Week_2025_11_15.xlsx / DE_Top_search_terms_Simple_Week 行6
鼠标垫推广跟进表格-2025.08.16.xlsx / 关键词词库-90 40 行25,48
鼠标垫推广跟进表格-2025.08.16.xlsx / 关键词词库-小尺寸加护托 行78</x:v>
      </x:c>
    </x:row>
    <x:row r="13" ht="40" customHeight="1">
      <x:c r="A13" s="7" t="str">
        <x:v>T008</x:v>
      </x:c>
      <x:c r="B13" s="7" t="str">
        <x:v>DE_YXWS900_SP_XXL_EX_PH_V1</x:v>
      </x:c>
      <x:c r="C13" s="7" t="str">
        <x:v>XXL_EX</x:v>
      </x:c>
      <x:c r="D13" s="7" t="str">
        <x:v>xxl mauspad</x:v>
      </x:c>
      <x:c r="E13" s="7" t="str">
        <x:v>精准</x:v>
      </x:c>
      <x:c r="F13" s="7" t="str">
        <x:v>输入词库候选</x:v>
      </x:c>
      <x:c r="G13" s="31" t="n">
        <x:v>12511</x:v>
      </x:c>
      <x:c r="H13" s="14"/>
      <x:c r="I13" s="14"/>
      <x:c r="J13" s="7" t="str">
        <x:v>启用候选，未执行</x:v>
      </x:c>
      <x:c r="K13" s="12"/>
      <x:c r="L13" s="7" t="str">
        <x:v>大桌垫相关；超大规格用词不替代明确尺寸</x:v>
      </x:c>
      <x:c r="M13" s="7" t="str">
        <x:v>鼠标垫关键词.xlsx / Sheet1 行9
DE_Top_search_terms_Simple_Week_2025_11_15.xlsx / DE_Top_search_terms_Simple_Week 行10
鼠标垫推广跟进表格-2025.08.16.xlsx / 关键词词库-小尺寸加护托 行80</x:v>
      </x:c>
    </x:row>
    <x:row r="14" ht="40" customHeight="1">
      <x:c r="A14" s="7" t="str">
        <x:v>T009</x:v>
      </x:c>
      <x:c r="B14" s="7" t="str">
        <x:v>DE_YXWS900_SP_XXL_EX_PH_V1</x:v>
      </x:c>
      <x:c r="C14" s="7" t="str">
        <x:v>XXL_EX</x:v>
      </x:c>
      <x:c r="D14" s="7" t="str">
        <x:v>mauspad groß</x:v>
      </x:c>
      <x:c r="E14" s="7" t="str">
        <x:v>精准</x:v>
      </x:c>
      <x:c r="F14" s="7" t="str">
        <x:v>输入词库候选</x:v>
      </x:c>
      <x:c r="G14" s="31" t="n">
        <x:v>28029</x:v>
      </x:c>
      <x:c r="H14" s="14"/>
      <x:c r="I14" s="14"/>
      <x:c r="J14" s="7" t="str">
        <x:v>启用候选，未执行</x:v>
      </x:c>
      <x:c r="K14" s="12"/>
      <x:c r="L14" s="7" t="str">
        <x:v>大桌垫相关；超大规格用词不替代明确尺寸</x:v>
      </x:c>
      <x:c r="M14" s="7" t="str">
        <x:v>鼠标垫关键词.xlsx / Sheet1 行12
DE_Top_search_terms_Simple_Week_2025_11_15.xlsx / DE_Top_search_terms_Simple_Week 行13
鼠标垫推广跟进表格-2025.08.16.xlsx / 关键词词库-90 40 行19,49
鼠标垫推广跟进表格-2025.08.16.xlsx / 2026.08.07梳理ST关键词 行73
鼠标垫推广跟进表格-2025.08.16.xlsx / 关键词词库-小尺寸加护托 行83</x:v>
      </x:c>
    </x:row>
    <x:row r="15" ht="40" customHeight="1">
      <x:c r="A15" s="7" t="str">
        <x:v>T010</x:v>
      </x:c>
      <x:c r="B15" s="7" t="str">
        <x:v>DE_YXWS900_SP_XXL_EX_PH_V1</x:v>
      </x:c>
      <x:c r="C15" s="7" t="str">
        <x:v>XXL_EX</x:v>
      </x:c>
      <x:c r="D15" s="7" t="str">
        <x:v>großes mauspad</x:v>
      </x:c>
      <x:c r="E15" s="7" t="str">
        <x:v>精准</x:v>
      </x:c>
      <x:c r="F15" s="7" t="str">
        <x:v>输入词库候选</x:v>
      </x:c>
      <x:c r="G15" s="31" t="n">
        <x:v>73508</x:v>
      </x:c>
      <x:c r="H15" s="14"/>
      <x:c r="I15" s="14"/>
      <x:c r="J15" s="7" t="str">
        <x:v>启用候选，未执行</x:v>
      </x:c>
      <x:c r="K15" s="12"/>
      <x:c r="L15" s="7" t="str">
        <x:v>大桌垫相关；超大规格用词不替代明确尺寸</x:v>
      </x:c>
      <x:c r="M15" s="7" t="str">
        <x:v>鼠标垫关键词.xlsx / Sheet1 行21
DE_Top_search_terms_Simple_Week_2025_11_15.xlsx / DE_Top_search_terms_Simple_Week 行22
鼠标垫推广跟进表格-2025.08.16.xlsx / 关键词词库-90 40 行52</x:v>
      </x:c>
    </x:row>
    <x:row r="16" ht="40" customHeight="1">
      <x:c r="A16" s="7" t="str">
        <x:v>T011</x:v>
      </x:c>
      <x:c r="B16" s="7" t="str">
        <x:v>DE_YXWS900_SP_XXL_EX_PH_V1</x:v>
      </x:c>
      <x:c r="C16" s="7" t="str">
        <x:v>XXL_EX</x:v>
      </x:c>
      <x:c r="D16" s="7" t="str">
        <x:v>mauspad 900x400</x:v>
      </x:c>
      <x:c r="E16" s="7" t="str">
        <x:v>精准</x:v>
      </x:c>
      <x:c r="F16" s="7" t="str">
        <x:v>输入词库候选</x:v>
      </x:c>
      <x:c r="G16" s="31" t="n">
        <x:v>39965</x:v>
      </x:c>
      <x:c r="H16" s="14"/>
      <x:c r="I16" s="14"/>
      <x:c r="J16" s="7" t="str">
        <x:v>启用候选，未执行</x:v>
      </x:c>
      <x:c r="K16" s="12"/>
      <x:c r="L16" s="7" t="str">
        <x:v>与本轮实际尺寸一致</x:v>
      </x:c>
      <x:c r="M16" s="7" t="str">
        <x:v>鼠标垫关键词.xlsx / Sheet1 行15
DE_Top_search_terms_Simple_Week_2025_11_15.xlsx / DE_Top_search_terms_Simple_Week 行16
鼠标垫推广跟进表格-2025.08.16.xlsx / 关键词词库-90 40 行21,50</x:v>
      </x:c>
    </x:row>
    <x:row r="17" ht="40" customHeight="1">
      <x:c r="A17" s="7" t="str">
        <x:v>T012</x:v>
      </x:c>
      <x:c r="B17" s="7" t="str">
        <x:v>DE_YXWS900_SP_XXL_EX_PH_V1</x:v>
      </x:c>
      <x:c r="C17" s="7" t="str">
        <x:v>XXL_EX</x:v>
      </x:c>
      <x:c r="D17" s="7" t="str">
        <x:v>mousepad 900x400</x:v>
      </x:c>
      <x:c r="E17" s="7" t="str">
        <x:v>精准</x:v>
      </x:c>
      <x:c r="F17" s="7" t="str">
        <x:v>输入词库候选</x:v>
      </x:c>
      <x:c r="G17" s="31" t="n">
        <x:v>160554</x:v>
      </x:c>
      <x:c r="H17" s="14"/>
      <x:c r="I17" s="14"/>
      <x:c r="J17" s="7" t="str">
        <x:v>启用候选，未执行</x:v>
      </x:c>
      <x:c r="K17" s="12"/>
      <x:c r="L17" s="7" t="str">
        <x:v>与本轮实际尺寸一致</x:v>
      </x:c>
      <x:c r="M17" s="7" t="str">
        <x:v>鼠标垫关键词.xlsx / Sheet1 行34
DE_Top_search_terms_Simple_Week_2025_11_15.xlsx / DE_Top_search_terms_Simple_Week 行35
鼠标垫推广跟进表格-2025.08.16.xlsx / 关键词词库-90 40 行29,51</x:v>
      </x:c>
    </x:row>
    <x:row r="18" ht="40" customHeight="1">
      <x:c r="A18" s="7" t="str">
        <x:v>T013</x:v>
      </x:c>
      <x:c r="B18" s="7" t="str">
        <x:v>DE_YXWS900_SP_XXL_EX_PH_V1</x:v>
      </x:c>
      <x:c r="C18" s="7" t="str">
        <x:v>XXL_EX</x:v>
      </x:c>
      <x:c r="D18" s="7" t="str">
        <x:v>gaming mauspad xxl</x:v>
      </x:c>
      <x:c r="E18" s="7" t="str">
        <x:v>精准</x:v>
      </x:c>
      <x:c r="F18" s="7" t="str">
        <x:v>输入词库候选</x:v>
      </x:c>
      <x:c r="G18" s="31" t="n">
        <x:v>59043</x:v>
      </x:c>
      <x:c r="H18" s="14"/>
      <x:c r="I18" s="14"/>
      <x:c r="J18" s="7" t="str">
        <x:v>启用候选，未执行</x:v>
      </x:c>
      <x:c r="K18" s="12"/>
      <x:c r="L18" s="7" t="str">
        <x:v>大桌垫相关；超大规格用词不替代明确尺寸</x:v>
      </x:c>
      <x:c r="M18" s="7" t="str">
        <x:v>鼠标垫关键词.xlsx / Sheet1 行17
DE_Top_search_terms_Simple_Week_2025_11_15.xlsx / DE_Top_search_terms_Simple_Week 行18
鼠标垫推广跟进表格-2025.08.16.xlsx / 2026.08.07梳理ST关键词 行72</x:v>
      </x:c>
    </x:row>
    <x:row r="19" ht="40" customHeight="1">
      <x:c r="A19" s="7" t="str">
        <x:v>T014</x:v>
      </x:c>
      <x:c r="B19" s="7" t="str">
        <x:v>DE_YXWS900_SP_XXL_EX_PH_V1</x:v>
      </x:c>
      <x:c r="C19" s="7" t="str">
        <x:v>XXL_EX</x:v>
      </x:c>
      <x:c r="D19" s="7" t="str">
        <x:v>gaming mousepad xxl</x:v>
      </x:c>
      <x:c r="E19" s="7" t="str">
        <x:v>精准</x:v>
      </x:c>
      <x:c r="F19" s="7" t="str">
        <x:v>输入词库候选</x:v>
      </x:c>
      <x:c r="G19" s="31" t="n">
        <x:v>122089</x:v>
      </x:c>
      <x:c r="H19" s="14"/>
      <x:c r="I19" s="14"/>
      <x:c r="J19" s="7" t="str">
        <x:v>启用候选，未执行</x:v>
      </x:c>
      <x:c r="K19" s="12"/>
      <x:c r="L19" s="7" t="str">
        <x:v>大桌垫相关；超大规格用词不替代明确尺寸</x:v>
      </x:c>
      <x:c r="M19" s="7" t="str">
        <x:v>鼠标垫关键词.xlsx / Sheet1 行27
DE_Top_search_terms_Simple_Week_2025_11_15.xlsx / DE_Top_search_terms_Simple_Week 行28
鼠标垫推广跟进表格-2025.08.16.xlsx / 关键词词库-90 40 行104
鼠标垫推广跟进表格-2025.08.16.xlsx / 2026.08.07梳理ST关键词 行4</x:v>
      </x:c>
    </x:row>
    <x:row r="20" ht="40" customHeight="1">
      <x:c r="A20" s="7" t="str">
        <x:v>T015</x:v>
      </x:c>
      <x:c r="B20" s="7" t="str">
        <x:v>DE_YXWS900_SP_XXL_EX_PH_V1</x:v>
      </x:c>
      <x:c r="C20" s="7" t="str">
        <x:v>XXL_PH</x:v>
      </x:c>
      <x:c r="D20" s="7" t="str">
        <x:v>mauspad xxl</x:v>
      </x:c>
      <x:c r="E20" s="7" t="str">
        <x:v>词组</x:v>
      </x:c>
      <x:c r="F20" s="7" t="str">
        <x:v>输入词库候选</x:v>
      </x:c>
      <x:c r="G20" s="31" t="n">
        <x:v>2941</x:v>
      </x:c>
      <x:c r="H20" s="14"/>
      <x:c r="I20" s="14"/>
      <x:c r="J20" s="7" t="str">
        <x:v>启用候选，未执行</x:v>
      </x:c>
      <x:c r="K20" s="12"/>
      <x:c r="L20" s="7" t="str">
        <x:v>大桌垫相关；超大规格用词不替代明确尺寸</x:v>
      </x:c>
      <x:c r="M20" s="7" t="str">
        <x:v>鼠标垫关键词.xlsx / Sheet1 行4
DE_Top_search_terms_Simple_Week_2025_11_15.xlsx / DE_Top_search_terms_Simple_Week 行5
鼠标垫推广跟进表格-2025.08.16.xlsx / 关键词词库-90 40 行17,47
鼠标垫推广跟进表格-2025.08.16.xlsx / 2026.08.07梳理ST关键词 行71
鼠标垫推广跟进表格-2025.08.16.xlsx / 关键词词库-小尺寸加护托 行77</x:v>
      </x:c>
    </x:row>
    <x:row r="21" ht="40" customHeight="1">
      <x:c r="A21" s="7" t="str">
        <x:v>T016</x:v>
      </x:c>
      <x:c r="B21" s="7" t="str">
        <x:v>DE_YXWS900_SP_XXL_EX_PH_V1</x:v>
      </x:c>
      <x:c r="C21" s="7" t="str">
        <x:v>XXL_PH</x:v>
      </x:c>
      <x:c r="D21" s="7" t="str">
        <x:v>mousepad xxl</x:v>
      </x:c>
      <x:c r="E21" s="7" t="str">
        <x:v>词组</x:v>
      </x:c>
      <x:c r="F21" s="7" t="str">
        <x:v>输入词库候选</x:v>
      </x:c>
      <x:c r="G21" s="31" t="n">
        <x:v>4597</x:v>
      </x:c>
      <x:c r="H21" s="14"/>
      <x:c r="I21" s="14"/>
      <x:c r="J21" s="7" t="str">
        <x:v>启用候选，未执行</x:v>
      </x:c>
      <x:c r="K21" s="12"/>
      <x:c r="L21" s="7" t="str">
        <x:v>大桌垫相关；超大规格用词不替代明确尺寸</x:v>
      </x:c>
      <x:c r="M21" s="7" t="str">
        <x:v>鼠标垫关键词.xlsx / Sheet1 行5
DE_Top_search_terms_Simple_Week_2025_11_15.xlsx / DE_Top_search_terms_Simple_Week 行6
鼠标垫推广跟进表格-2025.08.16.xlsx / 关键词词库-90 40 行25,48
鼠标垫推广跟进表格-2025.08.16.xlsx / 关键词词库-小尺寸加护托 行78</x:v>
      </x:c>
    </x:row>
    <x:row r="22" ht="40" customHeight="1">
      <x:c r="A22" s="7" t="str">
        <x:v>T017</x:v>
      </x:c>
      <x:c r="B22" s="7" t="str">
        <x:v>DE_YXWS900_SP_XXL_EX_PH_V1</x:v>
      </x:c>
      <x:c r="C22" s="7" t="str">
        <x:v>XXL_PH</x:v>
      </x:c>
      <x:c r="D22" s="7" t="str">
        <x:v>mauspad 900x400</x:v>
      </x:c>
      <x:c r="E22" s="7" t="str">
        <x:v>词组</x:v>
      </x:c>
      <x:c r="F22" s="7" t="str">
        <x:v>输入词库候选</x:v>
      </x:c>
      <x:c r="G22" s="31" t="n">
        <x:v>39965</x:v>
      </x:c>
      <x:c r="H22" s="14"/>
      <x:c r="I22" s="14"/>
      <x:c r="J22" s="7" t="str">
        <x:v>启用候选，未执行</x:v>
      </x:c>
      <x:c r="K22" s="12"/>
      <x:c r="L22" s="7" t="str">
        <x:v>与本轮实际尺寸一致</x:v>
      </x:c>
      <x:c r="M22" s="7" t="str">
        <x:v>鼠标垫关键词.xlsx / Sheet1 行15
DE_Top_search_terms_Simple_Week_2025_11_15.xlsx / DE_Top_search_terms_Simple_Week 行16
鼠标垫推广跟进表格-2025.08.16.xlsx / 关键词词库-90 40 行21,50</x:v>
      </x:c>
    </x:row>
    <x:row r="23" ht="30" customHeight="1">
      <x:c r="A23" s="7" t="str">
        <x:v>T018</x:v>
      </x:c>
      <x:c r="B23" s="7" t="str">
        <x:v>DE_YXWS900_SP_DESIGN_PH_V1</x:v>
      </x:c>
      <x:c r="C23" s="7" t="str">
        <x:v>DESIGN_PH</x:v>
      </x:c>
      <x:c r="D23" s="7" t="str">
        <x:v>mauspad japanisch</x:v>
      </x:c>
      <x:c r="E23" s="7" t="str">
        <x:v>词组</x:v>
      </x:c>
      <x:c r="F23" s="7" t="str">
        <x:v>输入词库候选</x:v>
      </x:c>
      <x:c r="G23" s="31"/>
      <x:c r="H23" s="14"/>
      <x:c r="I23" s="14"/>
      <x:c r="J23" s="7" t="str">
        <x:v>启用候选，未执行</x:v>
      </x:c>
      <x:c r="K23" s="12"/>
      <x:c r="L23" s="7" t="str">
        <x:v>图案相关；当前搜索量及转化未验证</x:v>
      </x:c>
      <x:c r="M23" s="7" t="str">
        <x:v>鼠标垫推广跟进表格-2025.08.16.xlsx / 2026.08.07梳理ST关键词 行8</x:v>
      </x:c>
    </x:row>
    <x:row r="24" ht="30" customHeight="1">
      <x:c r="A24" s="7" t="str">
        <x:v>T019</x:v>
      </x:c>
      <x:c r="B24" s="7" t="str">
        <x:v>DE_YXWS900_SP_DESIGN_PH_V1</x:v>
      </x:c>
      <x:c r="C24" s="7" t="str">
        <x:v>DESIGN_PH</x:v>
      </x:c>
      <x:c r="D24" s="7" t="str">
        <x:v>mauspad japan style</x:v>
      </x:c>
      <x:c r="E24" s="7" t="str">
        <x:v>词组</x:v>
      </x:c>
      <x:c r="F24" s="7" t="str">
        <x:v>输入词库候选</x:v>
      </x:c>
      <x:c r="G24" s="31"/>
      <x:c r="H24" s="14"/>
      <x:c r="I24" s="14"/>
      <x:c r="J24" s="7" t="str">
        <x:v>启用候选，未执行</x:v>
      </x:c>
      <x:c r="K24" s="12"/>
      <x:c r="L24" s="7" t="str">
        <x:v>图案相关；当前搜索量及转化未验证</x:v>
      </x:c>
      <x:c r="M24" s="7" t="str">
        <x:v>鼠标垫推广跟进表格-2025.08.16.xlsx / 关键词词库-90 40 行185</x:v>
      </x:c>
    </x:row>
    <x:row r="25" ht="30" customHeight="1">
      <x:c r="A25" s="7" t="str">
        <x:v>T020</x:v>
      </x:c>
      <x:c r="B25" s="7" t="str">
        <x:v>DE_YXWS900_SP_DESIGN_PH_V1</x:v>
      </x:c>
      <x:c r="C25" s="7" t="str">
        <x:v>DESIGN_PH</x:v>
      </x:c>
      <x:c r="D25" s="7" t="str">
        <x:v>fantasy mauspad</x:v>
      </x:c>
      <x:c r="E25" s="7" t="str">
        <x:v>词组</x:v>
      </x:c>
      <x:c r="F25" s="7" t="str">
        <x:v>输入词库候选</x:v>
      </x:c>
      <x:c r="G25" s="31"/>
      <x:c r="H25" s="14"/>
      <x:c r="I25" s="14"/>
      <x:c r="J25" s="7" t="str">
        <x:v>启用候选，未执行</x:v>
      </x:c>
      <x:c r="K25" s="12"/>
      <x:c r="L25" s="7" t="str">
        <x:v>图案相关；当前搜索量及转化未验证</x:v>
      </x:c>
      <x:c r="M25" s="7" t="str">
        <x:v>鼠标垫推广跟进表格-2025.08.16.xlsx / 2026.08.07梳理ST关键词 行29</x:v>
      </x:c>
    </x:row>
    <x:row r="26" ht="30" customHeight="1">
      <x:c r="A26" s="7" t="str">
        <x:v>T021</x:v>
      </x:c>
      <x:c r="B26" s="7" t="str">
        <x:v>DE_YXWS900_SP_DESIGN_PH_V1</x:v>
      </x:c>
      <x:c r="C26" s="7" t="str">
        <x:v>DESIGN_PH</x:v>
      </x:c>
      <x:c r="D26" s="7" t="str">
        <x:v>mauspad samurai</x:v>
      </x:c>
      <x:c r="E26" s="7" t="str">
        <x:v>词组</x:v>
      </x:c>
      <x:c r="F26" s="7" t="str">
        <x:v>AI生成测试假设</x:v>
      </x:c>
      <x:c r="G26" s="31"/>
      <x:c r="H26" s="14"/>
      <x:c r="I26" s="14"/>
      <x:c r="J26" s="7" t="str">
        <x:v>启用候选，未执行</x:v>
      </x:c>
      <x:c r="K26" s="12"/>
      <x:c r="L26" s="7" t="str">
        <x:v>图案相关；当前搜索量及转化未验证</x:v>
      </x:c>
      <x:c r="M26" s="7" t="str">
        <x:v>鼠标垫推广跟进表格-2025.08.16.xlsx / 2026新款鼠标垫文案 行2</x:v>
      </x:c>
    </x:row>
    <x:row r="27" ht="30" customHeight="1">
      <x:c r="A27" s="7" t="str">
        <x:v>T022</x:v>
      </x:c>
      <x:c r="B27" s="7" t="str">
        <x:v>DE_YXWS900_SP_DESIGN_PH_V1</x:v>
      </x:c>
      <x:c r="C27" s="7" t="str">
        <x:v>DESIGN_PH</x:v>
      </x:c>
      <x:c r="D27" s="7" t="str">
        <x:v>samurai mauspad</x:v>
      </x:c>
      <x:c r="E27" s="7" t="str">
        <x:v>词组</x:v>
      </x:c>
      <x:c r="F27" s="7" t="str">
        <x:v>AI生成测试假设</x:v>
      </x:c>
      <x:c r="G27" s="31"/>
      <x:c r="H27" s="14"/>
      <x:c r="I27" s="14"/>
      <x:c r="J27" s="7" t="str">
        <x:v>启用候选，未执行</x:v>
      </x:c>
      <x:c r="K27" s="12"/>
      <x:c r="L27" s="7" t="str">
        <x:v>图案相关；当前搜索量及转化未验证</x:v>
      </x:c>
      <x:c r="M27" s="7" t="str">
        <x:v>鼠标垫推广跟进表格-2025.08.16.xlsx / 2026新款鼠标垫文案 行2</x:v>
      </x:c>
    </x:row>
    <x:row r="28" ht="30" customHeight="1">
      <x:c r="A28" s="7" t="str">
        <x:v>T023</x:v>
      </x:c>
      <x:c r="B28" s="7" t="str">
        <x:v>DE_YXWS900_SP_AUTO_V1</x:v>
      </x:c>
      <x:c r="C28" s="7" t="str">
        <x:v>AUTO</x:v>
      </x:c>
      <x:c r="D28" s="7" t="str">
        <x:v>close-match</x:v>
      </x:c>
      <x:c r="E28" s="7" t="str">
        <x:v>自动</x:v>
      </x:c>
      <x:c r="F28" s="7" t="str">
        <x:v>自动目标类型</x:v>
      </x:c>
      <x:c r="G28" s="31"/>
      <x:c r="H28" s="14"/>
      <x:c r="I28" s="14"/>
      <x:c r="J28" s="7" t="str">
        <x:v>启用候选，未执行</x:v>
      </x:c>
      <x:c r="K28" s="12"/>
      <x:c r="L28" s="7" t="str">
        <x:v>紧密相关探索</x:v>
      </x:c>
      <x:c r="M28" s="7" t="str">
        <x:v>鼠标垫推广跟进表格-2025.08.16.xlsx / 2026新款鼠标垫文案 行2</x:v>
      </x:c>
    </x:row>
    <x:row r="29" ht="30" customHeight="1">
      <x:c r="A29" s="7" t="str">
        <x:v>T024</x:v>
      </x:c>
      <x:c r="B29" s="7" t="str">
        <x:v>DE_YXWS900_SP_AUTO_V1</x:v>
      </x:c>
      <x:c r="C29" s="7" t="str">
        <x:v>AUTO</x:v>
      </x:c>
      <x:c r="D29" s="7" t="str">
        <x:v>loose-match</x:v>
      </x:c>
      <x:c r="E29" s="7" t="str">
        <x:v>自动</x:v>
      </x:c>
      <x:c r="F29" s="7" t="str">
        <x:v>自动目标类型</x:v>
      </x:c>
      <x:c r="G29" s="31"/>
      <x:c r="H29" s="14"/>
      <x:c r="I29" s="14"/>
      <x:c r="J29" s="7" t="str">
        <x:v>启用候选，未执行</x:v>
      </x:c>
      <x:c r="K29" s="12"/>
      <x:c r="L29" s="7" t="str">
        <x:v>较宽查询探索，需要否词和预算控制</x:v>
      </x:c>
      <x:c r="M29" s="7" t="str">
        <x:v>鼠标垫推广跟进表格-2025.08.16.xlsx / 2026新款鼠标垫文案 行2</x:v>
      </x:c>
    </x:row>
    <x:row r="30" ht="30" customHeight="1">
      <x:c r="A30" s="7" t="str">
        <x:v>T025</x:v>
      </x:c>
      <x:c r="B30" s="7" t="str">
        <x:v>DE_YXWS900_SP_AUTO_V1</x:v>
      </x:c>
      <x:c r="C30" s="7" t="str">
        <x:v>AUTO</x:v>
      </x:c>
      <x:c r="D30" s="7" t="str">
        <x:v>substitutes</x:v>
      </x:c>
      <x:c r="E30" s="7" t="str">
        <x:v>自动</x:v>
      </x:c>
      <x:c r="F30" s="7" t="str">
        <x:v>自动目标类型</x:v>
      </x:c>
      <x:c r="G30" s="31"/>
      <x:c r="H30" s="14"/>
      <x:c r="I30" s="14"/>
      <x:c r="J30" s="7" t="str">
        <x:v>启用候选，未执行</x:v>
      </x:c>
      <x:c r="K30" s="12"/>
      <x:c r="L30" s="7" t="str">
        <x:v>同类商品探索</x:v>
      </x:c>
      <x:c r="M30" s="7" t="str">
        <x:v>鼠标垫推广跟进表格-2025.08.16.xlsx / 2026新款鼠标垫文案 行2</x:v>
      </x:c>
    </x:row>
    <x:row r="31" ht="30" customHeight="1">
      <x:c r="A31" s="7" t="str">
        <x:v>T026</x:v>
      </x:c>
      <x:c r="B31" s="7" t="str">
        <x:v>DE_YXWS900_SP_AUTO_V1</x:v>
      </x:c>
      <x:c r="C31" s="7" t="str">
        <x:v>AUTO</x:v>
      </x:c>
      <x:c r="D31" s="7" t="str">
        <x:v>complements</x:v>
      </x:c>
      <x:c r="E31" s="7" t="str">
        <x:v>自动</x:v>
      </x:c>
      <x:c r="F31" s="7" t="str">
        <x:v>自动目标类型</x:v>
      </x:c>
      <x:c r="G31" s="31"/>
      <x:c r="H31" s="14"/>
      <x:c r="I31" s="14"/>
      <x:c r="J31" s="7" t="str">
        <x:v>暂停候选，未执行</x:v>
      </x:c>
      <x:c r="K31" s="12"/>
      <x:c r="L31" s="7" t="str">
        <x:v>首轮预算有限，先验证相关品类与替代品</x:v>
      </x:c>
      <x:c r="M31" s="7" t="str">
        <x:v>鼠标垫推广跟进表格-2025.08.16.xlsx / 2026新款鼠标垫文案 行2</x:v>
      </x:c>
    </x:row>
  </x:sheetData>
  <x:dataValidations count="1">
    <x:dataValidation type="list" sqref="K6:K31">
      <x:formula1>"采用,保留待测,排除,需补证据"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73576d491743c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" hidden="0" customWidth="1"/>
    <x:col min="2" max="2" width="38" hidden="0" customWidth="1"/>
    <x:col min="3" max="3" width="18" hidden="0" customWidth="1"/>
    <x:col min="4" max="4" width="47" hidden="0" customWidth="1"/>
    <x:col min="5" max="5" width="47" hidden="0" customWidth="1"/>
    <x:col min="6" max="6" width="27" hidden="0" customWidth="1"/>
    <x:col min="7" max="7" width="26" hidden="0" customWidth="1"/>
    <x:col min="8" max="8" width="79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</x:row>
    <x:row r="2" ht="27" customHeight="1">
      <x:c r="A2" s="3" t="str">
        <x:v>23条否词候选</x:v>
      </x:c>
      <x:c r="B2" s="4"/>
      <x:c r="C2" s="4"/>
      <x:c r="D2" s="4"/>
      <x:c r="E2" s="4"/>
      <x:c r="F2" s="4"/>
      <x:c r="G2" s="4"/>
      <x:c r="H2" s="4"/>
    </x:row>
    <x:row r="3" ht="20" customHeight="1">
      <x:c r="A3" s="5" t="str">
        <x:v>900 × 400 × 3 mm    ASIN B0H5HKNFDM    DE / EUR    2026-10-04</x:v>
      </x:c>
      <x:c r="B3" s="5"/>
      <x:c r="C3" s="5"/>
      <x:c r="D3" s="5"/>
      <x:c r="E3" s="5"/>
      <x:c r="F3" s="5"/>
      <x:c r="G3" s="5"/>
      <x:c r="H3" s="5"/>
    </x:row>
    <x:row r="4" ht="20" customHeight="1">
      <x:c r="A4" s="5" t="str">
        <x:v>先核对产品事实和已有否词范围。未执行否词，不一刀切排除mauspad、xxl、gaming或anime。</x:v>
      </x:c>
      <x:c r="B4" s="5"/>
      <x:c r="C4" s="5"/>
      <x:c r="D4" s="5"/>
      <x:c r="E4" s="5"/>
      <x:c r="F4" s="5"/>
      <x:c r="G4" s="5"/>
      <x:c r="H4" s="5"/>
    </x:row>
    <x:row r="5" ht="42" customHeight="1">
      <x:c r="A5" s="10" t="str">
        <x:v>ID</x:v>
      </x:c>
      <x:c r="B5" s="10" t="str">
        <x:v>否词</x:v>
      </x:c>
      <x:c r="C5" s="10" t="str">
        <x:v>否定匹配</x:v>
      </x:c>
      <x:c r="D5" s="10" t="str">
        <x:v>范围</x:v>
      </x:c>
      <x:c r="E5" s="10" t="str">
        <x:v>理由</x:v>
      </x:c>
      <x:c r="F5" s="10" t="str">
        <x:v>执行条件</x:v>
      </x:c>
      <x:c r="G5" s="10" t="str">
        <x:v>人工决定</x:v>
      </x:c>
      <x:c r="H5" s="10" t="str">
        <x:v>来源文件及行</x:v>
      </x:c>
    </x:row>
    <x:row r="6" ht="30" customHeight="1">
      <x:c r="A6" s="7" t="str">
        <x:v>N001</x:v>
      </x:c>
      <x:c r="B6" s="7" t="str">
        <x:v>gelkissen</x:v>
      </x:c>
      <x:c r="C6" s="7" t="str">
        <x:v>否定词组</x:v>
      </x:c>
      <x:c r="D6" s="7" t="str">
        <x:v>900版首轮关键词及自动活动；将来竞品专项另核对</x:v>
      </x:c>
      <x:c r="E6" s="7" t="str">
        <x:v>没有凝胶腕托属性，需产品确认</x:v>
      </x:c>
      <x:c r="F6" s="7" t="str">
        <x:v>产品事实确认后处理</x:v>
      </x:c>
      <x:c r="G6" s="12"/>
      <x:c r="H6" s="7" t="str">
        <x:v>鼠标垫推广跟进表格-2025.08.16.xlsx / 出单跟进 行8,9,10</x:v>
      </x:c>
    </x:row>
    <x:row r="7" ht="30" customHeight="1">
      <x:c r="A7" s="7" t="str">
        <x:v>N002</x:v>
      </x:c>
      <x:c r="B7" s="7" t="str">
        <x:v>handgelenkauflage</x:v>
      </x:c>
      <x:c r="C7" s="7" t="str">
        <x:v>否定词组</x:v>
      </x:c>
      <x:c r="D7" s="7" t="str">
        <x:v>900版首轮关键词及自动活动；将来竞品专项另核对</x:v>
      </x:c>
      <x:c r="E7" s="7" t="str">
        <x:v>大平面桌垫不是腕托</x:v>
      </x:c>
      <x:c r="F7" s="7" t="str">
        <x:v>产品事实确认后处理</x:v>
      </x:c>
      <x:c r="G7" s="12"/>
      <x:c r="H7" s="7" t="str">
        <x:v>鼠标垫推广跟进表格-2025.08.16.xlsx / 关键词词库-小尺寸加护托 行14</x:v>
      </x:c>
    </x:row>
    <x:row r="8" ht="30" customHeight="1">
      <x:c r="A8" s="7" t="str">
        <x:v>N003</x:v>
      </x:c>
      <x:c r="B8" s="7" t="str">
        <x:v>wrist rest</x:v>
      </x:c>
      <x:c r="C8" s="7" t="str">
        <x:v>否定词组</x:v>
      </x:c>
      <x:c r="D8" s="7" t="str">
        <x:v>900版首轮关键词及自动活动；将来竞品专项另核对</x:v>
      </x:c>
      <x:c r="E8" s="7" t="str">
        <x:v>大平面桌垫不是腕托</x:v>
      </x:c>
      <x:c r="F8" s="7" t="str">
        <x:v>产品事实确认后处理</x:v>
      </x:c>
      <x:c r="G8" s="12"/>
      <x:c r="H8" s="7" t="str">
        <x:v>鼠标垫推广跟进表格-2025.08.16.xlsx / 关键词词库-小尺寸加护托 行13</x:v>
      </x:c>
    </x:row>
    <x:row r="9" ht="30" customHeight="1">
      <x:c r="A9" s="7" t="str">
        <x:v>N004</x:v>
      </x:c>
      <x:c r="B9" s="7" t="str">
        <x:v>schreibtischunterlage leder</x:v>
      </x:c>
      <x:c r="C9" s="7" t="str">
        <x:v>否定词组</x:v>
      </x:c>
      <x:c r="D9" s="7" t="str">
        <x:v>900版首轮关键词及自动活动；将来竞品专项另核对</x:v>
      </x:c>
      <x:c r="E9" s="7" t="str">
        <x:v>非皮革桌垫意图，需材质确认</x:v>
      </x:c>
      <x:c r="F9" s="7" t="str">
        <x:v>产品事实确认后处理</x:v>
      </x:c>
      <x:c r="G9" s="12"/>
      <x:c r="H9" s="7" t="str">
        <x:v>鼠标垫推广跟进表格-2025.08.16.xlsx / 关键词词库-90 40 行38</x:v>
      </x:c>
    </x:row>
    <x:row r="10" ht="30" customHeight="1">
      <x:c r="A10" s="7" t="str">
        <x:v>N005</x:v>
      </x:c>
      <x:c r="B10" s="7" t="str">
        <x:v>schreibtischunterlage filz</x:v>
      </x:c>
      <x:c r="C10" s="7" t="str">
        <x:v>否定词组</x:v>
      </x:c>
      <x:c r="D10" s="7" t="str">
        <x:v>900版首轮关键词及自动活动；将来竞品专项另核对</x:v>
      </x:c>
      <x:c r="E10" s="7" t="str">
        <x:v>非毛毡桌垫意图，需材质确认</x:v>
      </x:c>
      <x:c r="F10" s="7" t="str">
        <x:v>产品事实确认后处理</x:v>
      </x:c>
      <x:c r="G10" s="12"/>
      <x:c r="H10" s="7" t="str">
        <x:v>鼠标垫推广跟进表格-2025.08.16.xlsx / 关键词词库-90 40 行39</x:v>
      </x:c>
    </x:row>
    <x:row r="11" ht="30" customHeight="1">
      <x:c r="A11" s="7" t="str">
        <x:v>N006</x:v>
      </x:c>
      <x:c r="B11" s="7" t="str">
        <x:v>schreibtischunterlage transparent</x:v>
      </x:c>
      <x:c r="C11" s="7" t="str">
        <x:v>否定词组</x:v>
      </x:c>
      <x:c r="D11" s="7" t="str">
        <x:v>900版首轮关键词及自动活动；将来竞品专项另核对</x:v>
      </x:c>
      <x:c r="E11" s="7" t="str">
        <x:v>不是透明桌垫</x:v>
      </x:c>
      <x:c r="F11" s="7" t="str">
        <x:v>产品事实确认后处理</x:v>
      </x:c>
      <x:c r="G11" s="12"/>
      <x:c r="H11" s="7" t="str">
        <x:v>鼠标垫推广跟进表格-2025.08.16.xlsx / 关键词词库-90 40 行35</x:v>
      </x:c>
    </x:row>
    <x:row r="12" ht="30" customHeight="1">
      <x:c r="A12" s="7" t="str">
        <x:v>N007</x:v>
      </x:c>
      <x:c r="B12" s="7" t="str">
        <x:v>schreibtischunterlage papier</x:v>
      </x:c>
      <x:c r="C12" s="7" t="str">
        <x:v>否定词组</x:v>
      </x:c>
      <x:c r="D12" s="7" t="str">
        <x:v>900版首轮关键词及自动活动；将来竞品专项另核对</x:v>
      </x:c>
      <x:c r="E12" s="7" t="str">
        <x:v>不是纸桌垫</x:v>
      </x:c>
      <x:c r="F12" s="7" t="str">
        <x:v>产品事实确认后处理</x:v>
      </x:c>
      <x:c r="G12" s="12"/>
      <x:c r="H12" s="7" t="str">
        <x:v>鼠标垫推广跟进表格-2025.08.16.xlsx / 关键词词库-90 40 行34</x:v>
      </x:c>
    </x:row>
    <x:row r="13" ht="30" customHeight="1">
      <x:c r="A13" s="7" t="str">
        <x:v>N008</x:v>
      </x:c>
      <x:c r="B13" s="7" t="str">
        <x:v>rgb mauspad</x:v>
      </x:c>
      <x:c r="C13" s="7" t="str">
        <x:v>否定词组</x:v>
      </x:c>
      <x:c r="D13" s="7" t="str">
        <x:v>900版首轮关键词及自动活动；将来竞品专项另核对</x:v>
      </x:c>
      <x:c r="E13" s="7" t="str">
        <x:v>没有已证实RGB功能，产品确认后排除</x:v>
      </x:c>
      <x:c r="F13" s="7" t="str">
        <x:v>产品事实确认后处理</x:v>
      </x:c>
      <x:c r="G13" s="12"/>
      <x:c r="H13" s="7" t="str">
        <x:v>鼠标垫推广跟进表格-2025.08.16.xlsx / 2026新款鼠标垫文案 行2</x:v>
      </x:c>
    </x:row>
    <x:row r="14" ht="30" customHeight="1">
      <x:c r="A14" s="7" t="str">
        <x:v>N009</x:v>
      </x:c>
      <x:c r="B14" s="7" t="str">
        <x:v>mauspad 1200x600</x:v>
      </x:c>
      <x:c r="C14" s="7" t="str">
        <x:v>否定精准</x:v>
      </x:c>
      <x:c r="D14" s="7" t="str">
        <x:v>900版首轮关键词及自动活动；将来竞品专项另核对</x:v>
      </x:c>
      <x:c r="E14" s="7" t="str">
        <x:v>1200版不进入900版活动</x:v>
      </x:c>
      <x:c r="F14" s="7" t="str">
        <x:v>产品事实确认后处理</x:v>
      </x:c>
      <x:c r="G14" s="12"/>
      <x:c r="H14" s="7" t="str">
        <x:v>鼠标垫推广跟进表格-2025.08.16.xlsx / 关键词词库-90 40 行20,80</x:v>
      </x:c>
    </x:row>
    <x:row r="15" ht="30" customHeight="1">
      <x:c r="A15" s="7" t="str">
        <x:v>N010</x:v>
      </x:c>
      <x:c r="B15" s="7" t="str">
        <x:v>mousepad 1200x600</x:v>
      </x:c>
      <x:c r="C15" s="7" t="str">
        <x:v>否定精准</x:v>
      </x:c>
      <x:c r="D15" s="7" t="str">
        <x:v>900版首轮关键词及自动活动；将来竞品专项另核对</x:v>
      </x:c>
      <x:c r="E15" s="7" t="str">
        <x:v>1200版不进入900版活动</x:v>
      </x:c>
      <x:c r="F15" s="7" t="str">
        <x:v>产品事实确认后处理</x:v>
      </x:c>
      <x:c r="G15" s="12"/>
      <x:c r="H15" s="7" t="str">
        <x:v>鼠标垫推广跟进表格-2025.08.16.xlsx / 关键词词库-90 40 行28</x:v>
      </x:c>
    </x:row>
    <x:row r="16" ht="30" customHeight="1">
      <x:c r="A16" s="7" t="str">
        <x:v>N011</x:v>
      </x:c>
      <x:c r="B16" s="7" t="str">
        <x:v>mauspad 900x500</x:v>
      </x:c>
      <x:c r="C16" s="7" t="str">
        <x:v>否定精准</x:v>
      </x:c>
      <x:c r="D16" s="7" t="str">
        <x:v>900版首轮关键词及自动活动；将来竞品专项另核对</x:v>
      </x:c>
      <x:c r="E16" s="7" t="str">
        <x:v>尺寸不符</x:v>
      </x:c>
      <x:c r="F16" s="7" t="str">
        <x:v>产品事实确认后处理</x:v>
      </x:c>
      <x:c r="G16" s="12"/>
      <x:c r="H16" s="7" t="str">
        <x:v>鼠标垫推广跟进表格-2025.08.16.xlsx / 关键词词库-90 40 行69</x:v>
      </x:c>
    </x:row>
    <x:row r="17" ht="30" customHeight="1">
      <x:c r="A17" s="7" t="str">
        <x:v>N012</x:v>
      </x:c>
      <x:c r="B17" s="7" t="str">
        <x:v>mousepad 1000x500</x:v>
      </x:c>
      <x:c r="C17" s="7" t="str">
        <x:v>否定精准</x:v>
      </x:c>
      <x:c r="D17" s="7" t="str">
        <x:v>900版首轮关键词及自动活动；将来竞品专项另核对</x:v>
      </x:c>
      <x:c r="E17" s="7" t="str">
        <x:v>尺寸不符</x:v>
      </x:c>
      <x:c r="F17" s="7" t="str">
        <x:v>产品事实确认后处理</x:v>
      </x:c>
      <x:c r="G17" s="12"/>
      <x:c r="H17" s="7" t="str">
        <x:v>鼠标垫推广跟进表格-2025.08.16.xlsx / 关键词词库-90 40 行77</x:v>
      </x:c>
    </x:row>
    <x:row r="18" ht="30" customHeight="1">
      <x:c r="A18" s="7" t="str">
        <x:v>N013</x:v>
      </x:c>
      <x:c r="B18" s="7" t="str">
        <x:v>mousepad katze</x:v>
      </x:c>
      <x:c r="C18" s="7" t="str">
        <x:v>否定精准</x:v>
      </x:c>
      <x:c r="D18" s="7" t="str">
        <x:v>900版首轮关键词及自动活动；将来竞品专项另核对</x:v>
      </x:c>
      <x:c r="E18" s="7" t="str">
        <x:v>猫图案非本品</x:v>
      </x:c>
      <x:c r="F18" s="7" t="str">
        <x:v>产品事实确认后处理</x:v>
      </x:c>
      <x:c r="G18" s="12"/>
      <x:c r="H18" s="7" t="str">
        <x:v>鼠标垫推广跟进表格-2025.08.16.xlsx / 关键词词库-90 40 行178</x:v>
      </x:c>
    </x:row>
    <x:row r="19" ht="30" customHeight="1">
      <x:c r="A19" s="7" t="str">
        <x:v>N014</x:v>
      </x:c>
      <x:c r="B19" s="7" t="str">
        <x:v>mauspad xxl katze</x:v>
      </x:c>
      <x:c r="C19" s="7" t="str">
        <x:v>否定精准</x:v>
      </x:c>
      <x:c r="D19" s="7" t="str">
        <x:v>900版首轮关键词及自动活动；将来竞品专项另核对</x:v>
      </x:c>
      <x:c r="E19" s="7" t="str">
        <x:v>猫图案非本品</x:v>
      </x:c>
      <x:c r="F19" s="7" t="str">
        <x:v>产品事实确认后处理</x:v>
      </x:c>
      <x:c r="G19" s="12"/>
      <x:c r="H19" s="7" t="str">
        <x:v>鼠标垫推广跟进表格-2025.08.16.xlsx / 2026.08.07梳理ST关键词 行9</x:v>
      </x:c>
    </x:row>
    <x:row r="20" ht="30" customHeight="1">
      <x:c r="A20" s="7" t="str">
        <x:v>N015</x:v>
      </x:c>
      <x:c r="B20" s="7" t="str">
        <x:v>sakura mauspad</x:v>
      </x:c>
      <x:c r="C20" s="7" t="str">
        <x:v>否定精准</x:v>
      </x:c>
      <x:c r="D20" s="7" t="str">
        <x:v>900版首轮关键词及自动活动；将来竞品专项另核对</x:v>
      </x:c>
      <x:c r="E20" s="7" t="str">
        <x:v>樱花图案非本品主图案</x:v>
      </x:c>
      <x:c r="F20" s="7" t="str">
        <x:v>产品事实确认后处理</x:v>
      </x:c>
      <x:c r="G20" s="12"/>
      <x:c r="H20" s="7" t="str">
        <x:v>鼠标垫推广跟进表格-2025.08.16.xlsx / 关键词词库-90 40 行184</x:v>
      </x:c>
    </x:row>
    <x:row r="21" ht="30" customHeight="1">
      <x:c r="A21" s="7" t="str">
        <x:v>N016</x:v>
      </x:c>
      <x:c r="B21" s="7" t="str">
        <x:v>schreibtischunterlage weltkarte</x:v>
      </x:c>
      <x:c r="C21" s="7" t="str">
        <x:v>否定精准</x:v>
      </x:c>
      <x:c r="D21" s="7" t="str">
        <x:v>900版首轮关键词及自动活动；将来竞品专项另核对</x:v>
      </x:c>
      <x:c r="E21" s="7" t="str">
        <x:v>世界地图非本品</x:v>
      </x:c>
      <x:c r="F21" s="7" t="str">
        <x:v>产品事实确认后处理</x:v>
      </x:c>
      <x:c r="G21" s="12"/>
      <x:c r="H21" s="7" t="str">
        <x:v>鼠标垫推广跟进表格-2025.08.16.xlsx / 关键词词库-90 40 行40</x:v>
      </x:c>
    </x:row>
    <x:row r="22" ht="30" customHeight="1">
      <x:c r="A22" s="7" t="str">
        <x:v>N017</x:v>
      </x:c>
      <x:c r="B22" s="7" t="str">
        <x:v>mauspad weiß</x:v>
      </x:c>
      <x:c r="C22" s="7" t="str">
        <x:v>否定精准</x:v>
      </x:c>
      <x:c r="D22" s="7" t="str">
        <x:v>900版首轮关键词及自动活动；将来竞品专项另核对</x:v>
      </x:c>
      <x:c r="E22" s="7" t="str">
        <x:v>非纯白产品</x:v>
      </x:c>
      <x:c r="F22" s="7" t="str">
        <x:v>产品事实确认后处理</x:v>
      </x:c>
      <x:c r="G22" s="12"/>
      <x:c r="H22" s="7" t="str">
        <x:v>鼠标垫推广跟进表格-2025.08.16.xlsx / 关键词词库-90 40 行158
鼠标垫推广跟进表格-2025.08.16.xlsx / 2026.08.07梳理ST关键词 行5</x:v>
      </x:c>
    </x:row>
    <x:row r="23" ht="30" customHeight="1">
      <x:c r="A23" s="7" t="str">
        <x:v>N018</x:v>
      </x:c>
      <x:c r="B23" s="7" t="str">
        <x:v>white mousepad</x:v>
      </x:c>
      <x:c r="C23" s="7" t="str">
        <x:v>否定精准</x:v>
      </x:c>
      <x:c r="D23" s="7" t="str">
        <x:v>900版首轮关键词及自动活动；将来竞品专项另核对</x:v>
      </x:c>
      <x:c r="E23" s="7" t="str">
        <x:v>非纯白产品</x:v>
      </x:c>
      <x:c r="F23" s="7" t="str">
        <x:v>产品事实确认后处理</x:v>
      </x:c>
      <x:c r="G23" s="12"/>
      <x:c r="H23" s="7" t="str">
        <x:v>鼠标垫推广跟进表格-2025.08.16.xlsx / 关键词词库-90 40 行159</x:v>
      </x:c>
    </x:row>
    <x:row r="24" ht="30" customHeight="1">
      <x:c r="A24" s="7" t="str">
        <x:v>N019</x:v>
      </x:c>
      <x:c r="B24" s="7" t="str">
        <x:v>blaues mauspad</x:v>
      </x:c>
      <x:c r="C24" s="7" t="str">
        <x:v>否定精准</x:v>
      </x:c>
      <x:c r="D24" s="7" t="str">
        <x:v>900版首轮关键词及自动活动；将来竞品专项另核对</x:v>
      </x:c>
      <x:c r="E24" s="7" t="str">
        <x:v>非蓝色主色</x:v>
      </x:c>
      <x:c r="F24" s="7" t="str">
        <x:v>产品事实确认后处理</x:v>
      </x:c>
      <x:c r="G24" s="12"/>
      <x:c r="H24" s="7" t="str">
        <x:v>鼠标垫推广跟进表格-2025.08.16.xlsx / 2026.08.07梳理ST关键词 行14</x:v>
      </x:c>
    </x:row>
    <x:row r="25" ht="30" customHeight="1">
      <x:c r="A25" s="7" t="str">
        <x:v>N020</x:v>
      </x:c>
      <x:c r="B25" s="7" t="str">
        <x:v>anime mousepad grün</x:v>
      </x:c>
      <x:c r="C25" s="7" t="str">
        <x:v>否定精准</x:v>
      </x:c>
      <x:c r="D25" s="7" t="str">
        <x:v>900版首轮关键词及自动活动；将来竞品专项另核对</x:v>
      </x:c>
      <x:c r="E25" s="7" t="str">
        <x:v>非绿色动漫产品</x:v>
      </x:c>
      <x:c r="F25" s="7" t="str">
        <x:v>产品事实确认后处理</x:v>
      </x:c>
      <x:c r="G25" s="12"/>
      <x:c r="H25" s="7" t="str">
        <x:v>鼠标垫推广跟进表格-2025.08.16.xlsx / 2026.08.07梳理ST关键词 行19</x:v>
      </x:c>
    </x:row>
    <x:row r="26" ht="40" customHeight="1">
      <x:c r="A26" s="7" t="str">
        <x:v>N021</x:v>
      </x:c>
      <x:c r="B26" s="7" t="str">
        <x:v>titanwolf mauspad</x:v>
      </x:c>
      <x:c r="C26" s="7" t="str">
        <x:v>否定精准</x:v>
      </x:c>
      <x:c r="D26" s="7" t="str">
        <x:v>900版首轮关键词及自动活动；将来竞品专项另核对</x:v>
      </x:c>
      <x:c r="E26" s="7" t="str">
        <x:v>首轮不测试竞品强品牌意图</x:v>
      </x:c>
      <x:c r="F26" s="7" t="str">
        <x:v>产品事实确认后处理</x:v>
      </x:c>
      <x:c r="G26" s="12"/>
      <x:c r="H26" s="7" t="str">
        <x:v>鼠标垫关键词.xlsx / Sheet1 行16
DE_Top_search_terms_Simple_Week_2025_11_15.xlsx / DE_Top_search_terms_Simple_Week 行17
鼠标垫推广跟进表格-2025.08.16.xlsx / 关键词词库-90 40 行119</x:v>
      </x:c>
    </x:row>
    <x:row r="27" ht="30" customHeight="1">
      <x:c r="A27" s="7" t="str">
        <x:v>N022</x:v>
      </x:c>
      <x:c r="B27" s="7" t="str">
        <x:v>logitech mauspad</x:v>
      </x:c>
      <x:c r="C27" s="7" t="str">
        <x:v>否定精准</x:v>
      </x:c>
      <x:c r="D27" s="7" t="str">
        <x:v>900版首轮关键词及自动活动；将来竞品专项另核对</x:v>
      </x:c>
      <x:c r="E27" s="7" t="str">
        <x:v>首轮不测试竞品强品牌意图</x:v>
      </x:c>
      <x:c r="F27" s="7" t="str">
        <x:v>产品事实确认后处理</x:v>
      </x:c>
      <x:c r="G27" s="12"/>
      <x:c r="H27" s="7" t="str">
        <x:v>鼠标垫推广跟进表格-2025.08.16.xlsx / 关键词词库-90 40 行120
鼠标垫推广跟进表格-2025.08.16.xlsx / 关键词词库-小尺寸加护托 行59</x:v>
      </x:c>
    </x:row>
    <x:row r="28" ht="30" customHeight="1">
      <x:c r="A28" s="7" t="str">
        <x:v>N023</x:v>
      </x:c>
      <x:c r="B28" s="7" t="str">
        <x:v>razer mousepad</x:v>
      </x:c>
      <x:c r="C28" s="7" t="str">
        <x:v>否定精准</x:v>
      </x:c>
      <x:c r="D28" s="7" t="str">
        <x:v>900版首轮关键词及自动活动；将来竞品专项另核对</x:v>
      </x:c>
      <x:c r="E28" s="7" t="str">
        <x:v>首轮不测试竞品强品牌意图</x:v>
      </x:c>
      <x:c r="F28" s="7" t="str">
        <x:v>产品事实确认后处理</x:v>
      </x:c>
      <x:c r="G28" s="12"/>
      <x:c r="H28" s="7" t="str">
        <x:v>鼠标垫推广跟进表格-2025.08.16.xlsx / 关键词词库-90 40 行123</x:v>
      </x:c>
    </x:row>
  </x:sheetData>
  <x:dataValidations count="1">
    <x:dataValidation type="list" sqref="G6:G28">
      <x:formula1>"确认执行,保留待核验,不采用"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e19575dc3a4a6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39" hidden="0" customWidth="1"/>
    <x:col min="3" max="3" width="26" hidden="0" customWidth="1"/>
    <x:col min="4" max="4" width="29" hidden="0" customWidth="1"/>
    <x:col min="5" max="5" width="15" hidden="0" customWidth="1"/>
    <x:col min="6" max="6" width="19" hidden="0" customWidth="1"/>
    <x:col min="7" max="7" width="18" hidden="0" customWidth="1"/>
    <x:col min="8" max="8" width="42" hidden="0" customWidth="1"/>
    <x:col min="9" max="9" width="23" hidden="0" customWidth="1"/>
    <x:col min="10" max="10" width="56" hidden="0" customWidth="1"/>
    <x:col min="11" max="11" width="88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7" customHeight="1">
      <x:c r="A2" s="3" t="str">
        <x:v>完整367词审核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0" customHeight="1">
      <x:c r="A3" s="5" t="str">
        <x:v>900 × 400 × 3 mm    ASIN B0H5HKNFDM    DE / EUR    2026-10-04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 ht="20" customHeight="1">
      <x:c r="A4" s="5" t="str">
        <x:v>排名均为2025第46周。内部搜索量未核实工具与采集周期。可筛选分类和人工决定。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42" customHeight="1">
      <x:c r="A5" s="10" t="str">
        <x:v>ID</x:v>
      </x:c>
      <x:c r="B5" s="10" t="str">
        <x:v>关键词</x:v>
      </x:c>
      <x:c r="C5" s="10" t="str">
        <x:v>分类</x:v>
      </x:c>
      <x:c r="D5" s="10" t="str">
        <x:v>建议</x:v>
      </x:c>
      <x:c r="E5" s="10" t="str">
        <x:v>首轮投词</x:v>
      </x:c>
      <x:c r="F5" s="10" t="str">
        <x:v>2025W46频率排名</x:v>
      </x:c>
      <x:c r="G5" s="10" t="str">
        <x:v>内部量首条原值</x:v>
      </x:c>
      <x:c r="H5" s="10" t="str">
        <x:v>量口径</x:v>
      </x:c>
      <x:c r="I5" s="10" t="str">
        <x:v>人工决定</x:v>
      </x:c>
      <x:c r="J5" s="10" t="str">
        <x:v>原因</x:v>
      </x:c>
      <x:c r="K5" s="10" t="str">
        <x:v>来源文件及行</x:v>
      </x:c>
    </x:row>
    <x:row r="6" ht="30" customHeight="1">
      <x:c r="A6" s="7" t="str">
        <x:v>K001</x:v>
      </x:c>
      <x:c r="B6" s="7" t="str">
        <x:v>mauspad</x:v>
      </x:c>
      <x:c r="C6" s="7" t="str">
        <x:v>品类或桌面场景</x:v>
      </x:c>
      <x:c r="D6" s="7" t="str">
        <x:v>候选</x:v>
      </x:c>
      <x:c r="E6" s="7" t="str">
        <x:v>是</x:v>
      </x:c>
      <x:c r="F6" s="31" t="n">
        <x:v>308</x:v>
      </x:c>
      <x:c r="G6" s="31" t="n">
        <x:v>28039</x:v>
      </x:c>
      <x:c r="H6" s="32" t="str">
        <x:v>搜索量，日期及来源待核；首条原记录</x:v>
      </x:c>
      <x:c r="I6" s="12"/>
      <x:c r="J6" s="7" t="str">
        <x:v>品类/桌面使用相关；宽泛桌垫词需小范围测试</x:v>
      </x:c>
      <x:c r="K6" s="7" t="str">
        <x:v>鼠标垫关键词.xlsx / Sheet1 行2
DE_Top_search_terms_Simple_Week_2025_11_15.xlsx / DE_Top_search_terms_Simple_Week 行3
鼠标垫推广跟进表格-2025.08.16.xlsx / 关键词词库-90 40 行2,16
鼠标垫推广跟进表格-2025.08.16.xlsx / 2026.08.07梳理ST关键词 行2
鼠标垫推广跟进表格-2025.08.16.xlsx / 关键词词库-小尺寸加护托 行2</x:v>
      </x:c>
    </x:row>
    <x:row r="7" ht="30" customHeight="1">
      <x:c r="A7" s="7" t="str">
        <x:v>K002</x:v>
      </x:c>
      <x:c r="B7" s="7" t="str">
        <x:v>mousepad</x:v>
      </x:c>
      <x:c r="C7" s="7" t="str">
        <x:v>品类或桌面场景</x:v>
      </x:c>
      <x:c r="D7" s="7" t="str">
        <x:v>候选</x:v>
      </x:c>
      <x:c r="E7" s="7" t="str">
        <x:v>是</x:v>
      </x:c>
      <x:c r="F7" s="31" t="n">
        <x:v>700</x:v>
      </x:c>
      <x:c r="G7" s="31" t="n">
        <x:v>22938</x:v>
      </x:c>
      <x:c r="H7" s="32" t="str">
        <x:v>搜索量，日期及来源待核；首条原记录</x:v>
      </x:c>
      <x:c r="I7" s="12"/>
      <x:c r="J7" s="7" t="str">
        <x:v>品类/桌面使用相关；宽泛桌垫词需小范围测试</x:v>
      </x:c>
      <x:c r="K7" s="7" t="str">
        <x:v>鼠标垫关键词.xlsx / Sheet1 行3
DE_Top_search_terms_Simple_Week_2025_11_15.xlsx / DE_Top_search_terms_Simple_Week 行4
鼠标垫推广跟进表格-2025.08.16.xlsx / 关键词词库-90 40 行3,24
鼠标垫推广跟进表格-2025.08.16.xlsx / 2026.08.07梳理ST关键词 行3
鼠标垫推广跟进表格-2025.08.16.xlsx / 关键词词库-小尺寸加护托 行3</x:v>
      </x:c>
    </x:row>
    <x:row r="8" ht="30" customHeight="1">
      <x:c r="A8" s="7" t="str">
        <x:v>K003</x:v>
      </x:c>
      <x:c r="B8" s="7" t="str">
        <x:v>mauspad xxl</x:v>
      </x:c>
      <x:c r="C8" s="7" t="str">
        <x:v>大尺寸</x:v>
      </x:c>
      <x:c r="D8" s="7" t="str">
        <x:v>候选</x:v>
      </x:c>
      <x:c r="E8" s="7" t="str">
        <x:v>是</x:v>
      </x:c>
      <x:c r="F8" s="31" t="n">
        <x:v>2941</x:v>
      </x:c>
      <x:c r="G8" s="31" t="n">
        <x:v>8059</x:v>
      </x:c>
      <x:c r="H8" s="32" t="str">
        <x:v>周搜索量，日期及来源待核；首条原记录</x:v>
      </x:c>
      <x:c r="I8" s="12"/>
      <x:c r="J8" s="7" t="str">
        <x:v>大桌垫相关；超大规格用词不替代明确尺寸</x:v>
      </x:c>
      <x:c r="K8" s="7" t="str">
        <x:v>鼠标垫关键词.xlsx / Sheet1 行4
DE_Top_search_terms_Simple_Week_2025_11_15.xlsx / DE_Top_search_terms_Simple_Week 行5
鼠标垫推广跟进表格-2025.08.16.xlsx / 关键词词库-90 40 行17,47
鼠标垫推广跟进表格-2025.08.16.xlsx / 2026.08.07梳理ST关键词 行71
鼠标垫推广跟进表格-2025.08.16.xlsx / 关键词词库-小尺寸加护托 行77</x:v>
      </x:c>
    </x:row>
    <x:row r="9" ht="30" customHeight="1">
      <x:c r="A9" s="7" t="str">
        <x:v>K004</x:v>
      </x:c>
      <x:c r="B9" s="7" t="str">
        <x:v>mousepad xxl</x:v>
      </x:c>
      <x:c r="C9" s="7" t="str">
        <x:v>大尺寸</x:v>
      </x:c>
      <x:c r="D9" s="7" t="str">
        <x:v>候选</x:v>
      </x:c>
      <x:c r="E9" s="7" t="str">
        <x:v>是</x:v>
      </x:c>
      <x:c r="F9" s="31" t="n">
        <x:v>4597</x:v>
      </x:c>
      <x:c r="G9" s="31" t="n">
        <x:v>5155</x:v>
      </x:c>
      <x:c r="H9" s="32" t="str">
        <x:v>周搜索量，日期及来源待核；首条原记录</x:v>
      </x:c>
      <x:c r="I9" s="12"/>
      <x:c r="J9" s="7" t="str">
        <x:v>大桌垫相关；超大规格用词不替代明确尺寸</x:v>
      </x:c>
      <x:c r="K9" s="7" t="str">
        <x:v>鼠标垫关键词.xlsx / Sheet1 行5
DE_Top_search_terms_Simple_Week_2025_11_15.xlsx / DE_Top_search_terms_Simple_Week 行6
鼠标垫推广跟进表格-2025.08.16.xlsx / 关键词词库-90 40 行25,48
鼠标垫推广跟进表格-2025.08.16.xlsx / 关键词词库-小尺寸加护托 行78</x:v>
      </x:c>
    </x:row>
    <x:row r="10" ht="30" customHeight="1">
      <x:c r="A10" s="7" t="str">
        <x:v>K005</x:v>
      </x:c>
      <x:c r="B10" s="7" t="str">
        <x:v>gaming mauspad</x:v>
      </x:c>
      <x:c r="C10" s="7" t="str">
        <x:v>游戏场景</x:v>
      </x:c>
      <x:c r="D10" s="7" t="str">
        <x:v>候选</x:v>
      </x:c>
      <x:c r="E10" s="7" t="str">
        <x:v>是</x:v>
      </x:c>
      <x:c r="F10" s="31" t="n">
        <x:v>5937</x:v>
      </x:c>
      <x:c r="G10" s="31" t="n">
        <x:v>4006</x:v>
      </x:c>
      <x:c r="H10" s="32" t="str">
        <x:v>周搜索量，日期及来源待核；首条原记录</x:v>
      </x:c>
      <x:c r="I10" s="12"/>
      <x:c r="J10" s="7" t="str">
        <x:v>游戏使用场景，不表示已验证专业性能</x:v>
      </x:c>
      <x:c r="K10" s="7" t="str">
        <x:v>鼠标垫关键词.xlsx / Sheet1 行6
DE_Top_search_terms_Simple_Week_2025_11_15.xlsx / DE_Top_search_terms_Simple_Week 行7
鼠标垫推广跟进表格-2025.08.16.xlsx / 关键词词库-90 40 行87
鼠标垫推广跟进表格-2025.08.16.xlsx / 2026.08.07梳理ST关键词 行2</x:v>
      </x:c>
    </x:row>
    <x:row r="11" ht="30" customHeight="1">
      <x:c r="A11" s="7" t="str">
        <x:v>K006</x:v>
      </x:c>
      <x:c r="B11" s="7" t="str">
        <x:v>mauspad gaming</x:v>
      </x:c>
      <x:c r="C11" s="7" t="str">
        <x:v>游戏场景</x:v>
      </x:c>
      <x:c r="D11" s="7" t="str">
        <x:v>候选</x:v>
      </x:c>
      <x:c r="E11" s="7" t="str">
        <x:v>是</x:v>
      </x:c>
      <x:c r="F11" s="31" t="n">
        <x:v>6302</x:v>
      </x:c>
      <x:c r="G11" s="31" t="n">
        <x:v>3388</x:v>
      </x:c>
      <x:c r="H11" s="32" t="str">
        <x:v>周搜索量，日期及来源待核；首条原记录</x:v>
      </x:c>
      <x:c r="I11" s="12"/>
      <x:c r="J11" s="7" t="str">
        <x:v>游戏使用场景，不表示已验证专业性能</x:v>
      </x:c>
      <x:c r="K11" s="7" t="str">
        <x:v>鼠标垫关键词.xlsx / Sheet1 行7
DE_Top_search_terms_Simple_Week_2025_11_15.xlsx / DE_Top_search_terms_Simple_Week 行8
鼠标垫推广跟进表格-2025.08.16.xlsx / 关键词词库-90 40 行18,88
鼠标垫推广跟进表格-2025.08.16.xlsx / 关键词词库-小尺寸加护托 行79</x:v>
      </x:c>
    </x:row>
    <x:row r="12" ht="30" customHeight="1">
      <x:c r="A12" s="7" t="str">
        <x:v>K007</x:v>
      </x:c>
      <x:c r="B12" s="7" t="str">
        <x:v>mouse pad</x:v>
      </x:c>
      <x:c r="C12" s="7" t="str">
        <x:v>品类或桌面场景</x:v>
      </x:c>
      <x:c r="D12" s="7" t="str">
        <x:v>候选</x:v>
      </x:c>
      <x:c r="E12" s="7" t="str">
        <x:v>是</x:v>
      </x:c>
      <x:c r="F12" s="31" t="n">
        <x:v>9642</x:v>
      </x:c>
      <x:c r="G12" s="31"/>
      <x:c r="H12" s="32" t="str">
        <x:v>无量记录</x:v>
      </x:c>
      <x:c r="I12" s="12"/>
      <x:c r="J12" s="7" t="str">
        <x:v>品类/桌面使用相关；宽泛桌垫词需小范围测试</x:v>
      </x:c>
      <x:c r="K12" s="7" t="str">
        <x:v>鼠标垫关键词.xlsx / Sheet1 行8
DE_Top_search_terms_Simple_Week_2025_11_15.xlsx / DE_Top_search_terms_Simple_Week 行9
鼠标垫推广跟进表格-2025.08.16.xlsx / 2026.08.07梳理ST关键词 行4
鼠标垫推广跟进表格-2025.08.16.xlsx / 关键词词库-小尺寸加护托 行4</x:v>
      </x:c>
    </x:row>
    <x:row r="13" ht="30" customHeight="1">
      <x:c r="A13" s="7" t="str">
        <x:v>K008</x:v>
      </x:c>
      <x:c r="B13" s="7" t="str">
        <x:v>xxl mauspad</x:v>
      </x:c>
      <x:c r="C13" s="7" t="str">
        <x:v>大尺寸</x:v>
      </x:c>
      <x:c r="D13" s="7" t="str">
        <x:v>候选</x:v>
      </x:c>
      <x:c r="E13" s="7" t="str">
        <x:v>是</x:v>
      </x:c>
      <x:c r="F13" s="31" t="n">
        <x:v>12511</x:v>
      </x:c>
      <x:c r="G13" s="31"/>
      <x:c r="H13" s="32" t="str">
        <x:v>无量记录</x:v>
      </x:c>
      <x:c r="I13" s="12"/>
      <x:c r="J13" s="7" t="str">
        <x:v>大桌垫相关；超大规格用词不替代明确尺寸</x:v>
      </x:c>
      <x:c r="K13" s="7" t="str">
        <x:v>鼠标垫关键词.xlsx / Sheet1 行9
DE_Top_search_terms_Simple_Week_2025_11_15.xlsx / DE_Top_search_terms_Simple_Week 行10
鼠标垫推广跟进表格-2025.08.16.xlsx / 关键词词库-小尺寸加护托 行80</x:v>
      </x:c>
    </x:row>
    <x:row r="14" ht="30" customHeight="1">
      <x:c r="A14" s="7" t="str">
        <x:v>K009</x:v>
      </x:c>
      <x:c r="B14" s="7" t="str">
        <x:v>gaming mousepad</x:v>
      </x:c>
      <x:c r="C14" s="7" t="str">
        <x:v>游戏场景</x:v>
      </x:c>
      <x:c r="D14" s="7" t="str">
        <x:v>候选</x:v>
      </x:c>
      <x:c r="E14" s="7" t="str">
        <x:v>否</x:v>
      </x:c>
      <x:c r="F14" s="31" t="n">
        <x:v>13203</x:v>
      </x:c>
      <x:c r="G14" s="31" t="n">
        <x:v>2081</x:v>
      </x:c>
      <x:c r="H14" s="32" t="str">
        <x:v>周搜索量，日期及来源待核；首条原记录</x:v>
      </x:c>
      <x:c r="I14" s="12"/>
      <x:c r="J14" s="7" t="str">
        <x:v>游戏使用场景，不表示已验证专业性能</x:v>
      </x:c>
      <x:c r="K14" s="7" t="str">
        <x:v>鼠标垫关键词.xlsx / Sheet1 行10
DE_Top_search_terms_Simple_Week_2025_11_15.xlsx / DE_Top_search_terms_Simple_Week 行11
鼠标垫推广跟进表格-2025.08.16.xlsx / 关键词词库-90 40 行89
鼠标垫推广跟进表格-2025.08.16.xlsx / 2026.08.07梳理ST关键词 行3
鼠标垫推广跟进表格-2025.08.16.xlsx / 关键词词库-小尺寸加护托 行81</x:v>
      </x:c>
    </x:row>
    <x:row r="15" ht="30" customHeight="1">
      <x:c r="A15" s="7" t="str">
        <x:v>K010</x:v>
      </x:c>
      <x:c r="B15" s="7" t="str">
        <x:v>mousepad gaming</x:v>
      </x:c>
      <x:c r="C15" s="7" t="str">
        <x:v>游戏场景</x:v>
      </x:c>
      <x:c r="D15" s="7" t="str">
        <x:v>候选</x:v>
      </x:c>
      <x:c r="E15" s="7" t="str">
        <x:v>否</x:v>
      </x:c>
      <x:c r="F15" s="31" t="n">
        <x:v>17513</x:v>
      </x:c>
      <x:c r="G15" s="31" t="n">
        <x:v>1724</x:v>
      </x:c>
      <x:c r="H15" s="32" t="str">
        <x:v>周搜索量，日期及来源待核；首条原记录</x:v>
      </x:c>
      <x:c r="I15" s="12"/>
      <x:c r="J15" s="7" t="str">
        <x:v>游戏使用场景，不表示已验证专业性能</x:v>
      </x:c>
      <x:c r="K15" s="7" t="str">
        <x:v>鼠标垫关键词.xlsx / Sheet1 行11
DE_Top_search_terms_Simple_Week_2025_11_15.xlsx / DE_Top_search_terms_Simple_Week 行12
鼠标垫推广跟进表格-2025.08.16.xlsx / 关键词词库-90 40 行26,90
鼠标垫推广跟进表格-2025.08.16.xlsx / 关键词词库-小尺寸加护托 行82</x:v>
      </x:c>
    </x:row>
    <x:row r="16" ht="30" customHeight="1">
      <x:c r="A16" s="7" t="str">
        <x:v>K011</x:v>
      </x:c>
      <x:c r="B16" s="7" t="str">
        <x:v>mauspad groß</x:v>
      </x:c>
      <x:c r="C16" s="7" t="str">
        <x:v>大尺寸</x:v>
      </x:c>
      <x:c r="D16" s="7" t="str">
        <x:v>候选</x:v>
      </x:c>
      <x:c r="E16" s="7" t="str">
        <x:v>是</x:v>
      </x:c>
      <x:c r="F16" s="31" t="n">
        <x:v>28029</x:v>
      </x:c>
      <x:c r="G16" s="31" t="n">
        <x:v>1460</x:v>
      </x:c>
      <x:c r="H16" s="32" t="str">
        <x:v>周搜索量，日期及来源待核；首条原记录</x:v>
      </x:c>
      <x:c r="I16" s="12"/>
      <x:c r="J16" s="7" t="str">
        <x:v>大桌垫相关；超大规格用词不替代明确尺寸</x:v>
      </x:c>
      <x:c r="K16" s="7" t="str">
        <x:v>鼠标垫关键词.xlsx / Sheet1 行12
DE_Top_search_terms_Simple_Week_2025_11_15.xlsx / DE_Top_search_terms_Simple_Week 行13
鼠标垫推广跟进表格-2025.08.16.xlsx / 关键词词库-90 40 行19,49
鼠标垫推广跟进表格-2025.08.16.xlsx / 2026.08.07梳理ST关键词 行73
鼠标垫推广跟进表格-2025.08.16.xlsx / 关键词词库-小尺寸加护托 行83</x:v>
      </x:c>
    </x:row>
    <x:row r="17" ht="30" customHeight="1">
      <x:c r="A17" s="7" t="str">
        <x:v>K012</x:v>
      </x:c>
      <x:c r="B17" s="7" t="str">
        <x:v>maus pad</x:v>
      </x:c>
      <x:c r="C17" s="7" t="str">
        <x:v>品类或桌面场景</x:v>
      </x:c>
      <x:c r="D17" s="7" t="str">
        <x:v>候选</x:v>
      </x:c>
      <x:c r="E17" s="7" t="str">
        <x:v>否</x:v>
      </x:c>
      <x:c r="F17" s="31" t="n">
        <x:v>33594</x:v>
      </x:c>
      <x:c r="G17" s="31" t="n">
        <x:v>1031</x:v>
      </x:c>
      <x:c r="H17" s="32" t="str">
        <x:v>搜索量，日期及来源待核；首条原记录</x:v>
      </x:c>
      <x:c r="I17" s="12"/>
      <x:c r="J17" s="7" t="str">
        <x:v>品类/桌面使用相关；宽泛桌垫词需小范围测试</x:v>
      </x:c>
      <x:c r="K17" s="7" t="str">
        <x:v>鼠标垫关键词.xlsx / Sheet1 行13
DE_Top_search_terms_Simple_Week_2025_11_15.xlsx / DE_Top_search_terms_Simple_Week 行14
鼠标垫推广跟进表格-2025.08.16.xlsx / 关键词词库-90 40 行7
鼠标垫推广跟进表格-2025.08.16.xlsx / 关键词词库-小尺寸加护托 行8</x:v>
      </x:c>
    </x:row>
    <x:row r="18" ht="30" customHeight="1">
      <x:c r="A18" s="7" t="str">
        <x:v>K013</x:v>
      </x:c>
      <x:c r="B18" s="7" t="str">
        <x:v>mauspads</x:v>
      </x:c>
      <x:c r="C18" s="7" t="str">
        <x:v>品类或桌面场景</x:v>
      </x:c>
      <x:c r="D18" s="7" t="str">
        <x:v>候选</x:v>
      </x:c>
      <x:c r="E18" s="7" t="str">
        <x:v>否</x:v>
      </x:c>
      <x:c r="F18" s="31" t="n">
        <x:v>34244</x:v>
      </x:c>
      <x:c r="G18" s="31" t="n">
        <x:v>1490</x:v>
      </x:c>
      <x:c r="H18" s="32" t="str">
        <x:v>搜索量，日期及来源待核；首条原记录</x:v>
      </x:c>
      <x:c r="I18" s="12"/>
      <x:c r="J18" s="7" t="str">
        <x:v>品类/桌面使用相关；宽泛桌垫词需小范围测试</x:v>
      </x:c>
      <x:c r="K18" s="7" t="str">
        <x:v>鼠标垫关键词.xlsx / Sheet1 行14
DE_Top_search_terms_Simple_Week_2025_11_15.xlsx / DE_Top_search_terms_Simple_Week 行15
鼠标垫推广跟进表格-2025.08.16.xlsx / 关键词词库-90 40 行6
鼠标垫推广跟进表格-2025.08.16.xlsx / 关键词词库-小尺寸加护托 行7</x:v>
      </x:c>
    </x:row>
    <x:row r="19" ht="30" customHeight="1">
      <x:c r="A19" s="7" t="str">
        <x:v>K014</x:v>
      </x:c>
      <x:c r="B19" s="7" t="str">
        <x:v>mauspad 900x400</x:v>
      </x:c>
      <x:c r="C19" s="7" t="str">
        <x:v>900×400精确尺寸</x:v>
      </x:c>
      <x:c r="D19" s="7" t="str">
        <x:v>候选</x:v>
      </x:c>
      <x:c r="E19" s="7" t="str">
        <x:v>是</x:v>
      </x:c>
      <x:c r="F19" s="31" t="n">
        <x:v>39965</x:v>
      </x:c>
      <x:c r="G19" s="31" t="n">
        <x:v>924</x:v>
      </x:c>
      <x:c r="H19" s="32" t="str">
        <x:v>周搜索量，日期及来源待核；首条原记录</x:v>
      </x:c>
      <x:c r="I19" s="12"/>
      <x:c r="J19" s="7" t="str">
        <x:v>与本轮实际尺寸一致</x:v>
      </x:c>
      <x:c r="K19" s="7" t="str">
        <x:v>鼠标垫关键词.xlsx / Sheet1 行15
DE_Top_search_terms_Simple_Week_2025_11_15.xlsx / DE_Top_search_terms_Simple_Week 行16
鼠标垫推广跟进表格-2025.08.16.xlsx / 关键词词库-90 40 行21,50</x:v>
      </x:c>
    </x:row>
    <x:row r="20" ht="30" customHeight="1">
      <x:c r="A20" s="7" t="str">
        <x:v>K015</x:v>
      </x:c>
      <x:c r="B20" s="7" t="str">
        <x:v>titanwolf mauspad</x:v>
      </x:c>
      <x:c r="C20" s="7" t="str">
        <x:v>竞品品牌</x:v>
      </x:c>
      <x:c r="D20" s="7" t="str">
        <x:v>保留待核验</x:v>
      </x:c>
      <x:c r="E20" s="7" t="str">
        <x:v>否</x:v>
      </x:c>
      <x:c r="F20" s="31" t="n">
        <x:v>51247</x:v>
      </x:c>
      <x:c r="G20" s="31" t="n">
        <x:v>812</x:v>
      </x:c>
      <x:c r="H20" s="32" t="str">
        <x:v>周搜索量，日期及来源待核；首条原记录</x:v>
      </x:c>
      <x:c r="I20" s="12"/>
      <x:c r="J20" s="7" t="str">
        <x:v>首轮不验证竞品品牌意图；可另设专项，不能当自有品牌</x:v>
      </x:c>
      <x:c r="K20" s="7" t="str">
        <x:v>鼠标垫关键词.xlsx / Sheet1 行16
DE_Top_search_terms_Simple_Week_2025_11_15.xlsx / DE_Top_search_terms_Simple_Week 行17
鼠标垫推广跟进表格-2025.08.16.xlsx / 关键词词库-90 40 行119</x:v>
      </x:c>
    </x:row>
    <x:row r="21" ht="30" customHeight="1">
      <x:c r="A21" s="7" t="str">
        <x:v>K016</x:v>
      </x:c>
      <x:c r="B21" s="7" t="str">
        <x:v>gaming mauspad xxl</x:v>
      </x:c>
      <x:c r="C21" s="7" t="str">
        <x:v>大尺寸</x:v>
      </x:c>
      <x:c r="D21" s="7" t="str">
        <x:v>候选</x:v>
      </x:c>
      <x:c r="E21" s="7" t="str">
        <x:v>是</x:v>
      </x:c>
      <x:c r="F21" s="31" t="n">
        <x:v>59043</x:v>
      </x:c>
      <x:c r="G21" s="31"/>
      <x:c r="H21" s="32" t="str">
        <x:v>无量记录</x:v>
      </x:c>
      <x:c r="I21" s="12"/>
      <x:c r="J21" s="7" t="str">
        <x:v>大桌垫相关；超大规格用词不替代明确尺寸</x:v>
      </x:c>
      <x:c r="K21" s="7" t="str">
        <x:v>鼠标垫关键词.xlsx / Sheet1 行17
DE_Top_search_terms_Simple_Week_2025_11_15.xlsx / DE_Top_search_terms_Simple_Week 行18
鼠标垫推广跟进表格-2025.08.16.xlsx / 2026.08.07梳理ST关键词 行72</x:v>
      </x:c>
    </x:row>
    <x:row r="22" ht="30" customHeight="1">
      <x:c r="A22" s="7" t="str">
        <x:v>K017</x:v>
      </x:c>
      <x:c r="B22" s="7" t="str">
        <x:v>xxl mousepad</x:v>
      </x:c>
      <x:c r="C22" s="7" t="str">
        <x:v>大尺寸</x:v>
      </x:c>
      <x:c r="D22" s="7" t="str">
        <x:v>候选</x:v>
      </x:c>
      <x:c r="E22" s="7" t="str">
        <x:v>否</x:v>
      </x:c>
      <x:c r="F22" s="31" t="n">
        <x:v>59347</x:v>
      </x:c>
      <x:c r="G22" s="31" t="n">
        <x:v>688</x:v>
      </x:c>
      <x:c r="H22" s="32" t="str">
        <x:v>周搜索量，日期及来源待核；首条原记录</x:v>
      </x:c>
      <x:c r="I22" s="12"/>
      <x:c r="J22" s="7" t="str">
        <x:v>大桌垫相关；超大规格用词不替代明确尺寸</x:v>
      </x:c>
      <x:c r="K22" s="7" t="str">
        <x:v>鼠标垫关键词.xlsx / Sheet1 行18
DE_Top_search_terms_Simple_Week_2025_11_15.xlsx / DE_Top_search_terms_Simple_Week 行19
鼠标垫推广跟进表格-2025.08.16.xlsx / 关键词词库-90 40 行65</x:v>
      </x:c>
    </x:row>
    <x:row r="23" ht="30" customHeight="1">
      <x:c r="A23" s="7" t="str">
        <x:v>K018</x:v>
      </x:c>
      <x:c r="B23" s="7" t="str">
        <x:v>mousepad groß</x:v>
      </x:c>
      <x:c r="C23" s="7" t="str">
        <x:v>大尺寸</x:v>
      </x:c>
      <x:c r="D23" s="7" t="str">
        <x:v>候选</x:v>
      </x:c>
      <x:c r="E23" s="7" t="str">
        <x:v>否</x:v>
      </x:c>
      <x:c r="F23" s="31" t="n">
        <x:v>63217</x:v>
      </x:c>
      <x:c r="G23" s="31" t="n">
        <x:v>638</x:v>
      </x:c>
      <x:c r="H23" s="32" t="str">
        <x:v>周搜索量，日期及来源待核；首条原记录</x:v>
      </x:c>
      <x:c r="I23" s="12"/>
      <x:c r="J23" s="7" t="str">
        <x:v>大桌垫相关；超大规格用词不替代明确尺寸</x:v>
      </x:c>
      <x:c r="K23" s="7" t="str">
        <x:v>鼠标垫关键词.xlsx / Sheet1 行19
DE_Top_search_terms_Simple_Week_2025_11_15.xlsx / DE_Top_search_terms_Simple_Week 行20
鼠标垫推广跟进表格-2025.08.16.xlsx / 关键词词库-90 40 行27,66</x:v>
      </x:c>
    </x:row>
    <x:row r="24" ht="30" customHeight="1">
      <x:c r="A24" s="7" t="str">
        <x:v>K019</x:v>
      </x:c>
      <x:c r="B24" s="7" t="str">
        <x:v>mouspad</x:v>
      </x:c>
      <x:c r="C24" s="7" t="str">
        <x:v>错拼变体</x:v>
      </x:c>
      <x:c r="D24" s="7" t="str">
        <x:v>保留待核验</x:v>
      </x:c>
      <x:c r="E24" s="7" t="str">
        <x:v>否</x:v>
      </x:c>
      <x:c r="F24" s="31" t="n">
        <x:v>65087</x:v>
      </x:c>
      <x:c r="G24" s="31" t="n">
        <x:v>638</x:v>
      </x:c>
      <x:c r="H24" s="32" t="str">
        <x:v>搜索量，日期及来源待核；首条原记录</x:v>
      </x:c>
      <x:c r="I24" s="12"/>
      <x:c r="J24" s="7" t="str">
        <x:v>错拼不主动铺设；以实际查询表现决定</x:v>
      </x:c>
      <x:c r="K24" s="7" t="str">
        <x:v>鼠标垫关键词.xlsx / Sheet1 行20
DE_Top_search_terms_Simple_Week_2025_11_15.xlsx / DE_Top_search_terms_Simple_Week 行21
鼠标垫推广跟进表格-2025.08.16.xlsx / 关键词词库-90 40 行8
鼠标垫推广跟进表格-2025.08.16.xlsx / 关键词词库-小尺寸加护托 行12</x:v>
      </x:c>
    </x:row>
    <x:row r="25" ht="30" customHeight="1">
      <x:c r="A25" s="7" t="str">
        <x:v>K020</x:v>
      </x:c>
      <x:c r="B25" s="7" t="str">
        <x:v>großes mauspad</x:v>
      </x:c>
      <x:c r="C25" s="7" t="str">
        <x:v>大尺寸</x:v>
      </x:c>
      <x:c r="D25" s="7" t="str">
        <x:v>候选</x:v>
      </x:c>
      <x:c r="E25" s="7" t="str">
        <x:v>是</x:v>
      </x:c>
      <x:c r="F25" s="31" t="n">
        <x:v>73508</x:v>
      </x:c>
      <x:c r="G25" s="31" t="n">
        <x:v>436</x:v>
      </x:c>
      <x:c r="H25" s="32" t="str">
        <x:v>周搜索量，日期及来源待核；首条原记录</x:v>
      </x:c>
      <x:c r="I25" s="12"/>
      <x:c r="J25" s="7" t="str">
        <x:v>大桌垫相关；超大规格用词不替代明确尺寸</x:v>
      </x:c>
      <x:c r="K25" s="7" t="str">
        <x:v>鼠标垫关键词.xlsx / Sheet1 行21
DE_Top_search_terms_Simple_Week_2025_11_15.xlsx / DE_Top_search_terms_Simple_Week 行22
鼠标垫推广跟进表格-2025.08.16.xlsx / 关键词词库-90 40 行52</x:v>
      </x:c>
    </x:row>
    <x:row r="26" ht="30" customHeight="1">
      <x:c r="A26" s="7" t="str">
        <x:v>K021</x:v>
      </x:c>
      <x:c r="B26" s="7" t="str">
        <x:v>gaming pad</x:v>
      </x:c>
      <x:c r="C26" s="7" t="str">
        <x:v>游戏场景</x:v>
      </x:c>
      <x:c r="D26" s="7" t="str">
        <x:v>候选</x:v>
      </x:c>
      <x:c r="E26" s="7" t="str">
        <x:v>否</x:v>
      </x:c>
      <x:c r="F26" s="31" t="n">
        <x:v>90987</x:v>
      </x:c>
      <x:c r="G26" s="31"/>
      <x:c r="H26" s="32" t="str">
        <x:v>无量记录</x:v>
      </x:c>
      <x:c r="I26" s="12"/>
      <x:c r="J26" s="7" t="str">
        <x:v>游戏使用场景，不表示已验证专业性能</x:v>
      </x:c>
      <x:c r="K26" s="7" t="str">
        <x:v>鼠标垫关键词.xlsx / Sheet1 行22
DE_Top_search_terms_Simple_Week_2025_11_15.xlsx / DE_Top_search_terms_Simple_Week 行23</x:v>
      </x:c>
    </x:row>
    <x:row r="27" ht="30" customHeight="1">
      <x:c r="A27" s="7" t="str">
        <x:v>K022</x:v>
      </x:c>
      <x:c r="B27" s="7" t="str">
        <x:v>titanwolf</x:v>
      </x:c>
      <x:c r="C27" s="7" t="str">
        <x:v>竞品品牌</x:v>
      </x:c>
      <x:c r="D27" s="7" t="str">
        <x:v>保留待核验</x:v>
      </x:c>
      <x:c r="E27" s="7" t="str">
        <x:v>否</x:v>
      </x:c>
      <x:c r="F27" s="31" t="n">
        <x:v>98481</x:v>
      </x:c>
      <x:c r="G27" s="31"/>
      <x:c r="H27" s="32" t="str">
        <x:v>无量记录</x:v>
      </x:c>
      <x:c r="I27" s="12"/>
      <x:c r="J27" s="7" t="str">
        <x:v>首轮不验证竞品品牌意图；可另设专项，不能当自有品牌</x:v>
      </x:c>
      <x:c r="K27" s="7" t="str">
        <x:v>鼠标垫关键词.xlsx / Sheet1 行23
DE_Top_search_terms_Simple_Week_2025_11_15.xlsx / DE_Top_search_terms_Simple_Week 行24</x:v>
      </x:c>
    </x:row>
    <x:row r="28" ht="30" customHeight="1">
      <x:c r="A28" s="7" t="str">
        <x:v>K023</x:v>
      </x:c>
      <x:c r="B28" s="7" t="str">
        <x:v>mauspad schwarz</x:v>
      </x:c>
      <x:c r="C28" s="7" t="str">
        <x:v>黑灰颜色</x:v>
      </x:c>
      <x:c r="D28" s="7" t="str">
        <x:v>低优先级候选</x:v>
      </x:c>
      <x:c r="E28" s="7" t="str">
        <x:v>否</x:v>
      </x:c>
      <x:c r="F28" s="31" t="n">
        <x:v>107240</x:v>
      </x:c>
      <x:c r="G28" s="31" t="n">
        <x:v>421</x:v>
      </x:c>
      <x:c r="H28" s="32" t="str">
        <x:v>周搜索量，日期及来源待核；首条原记录</x:v>
      </x:c>
      <x:c r="I28" s="12"/>
      <x:c r="J28" s="7" t="str">
        <x:v>主色相关但图案含红粉，不主张纯黑</x:v>
      </x:c>
      <x:c r="K28" s="7" t="str">
        <x:v>鼠标垫关键词.xlsx / Sheet1 行24
DE_Top_search_terms_Simple_Week_2025_11_15.xlsx / DE_Top_search_terms_Simple_Week 行25
鼠标垫推广跟进表格-2025.08.16.xlsx / 关键词词库-90 40 行155
鼠标垫推广跟进表格-2025.08.16.xlsx / 关键词词库-小尺寸加护托 行16</x:v>
      </x:c>
    </x:row>
    <x:row r="29" ht="30" customHeight="1">
      <x:c r="A29" s="7" t="str">
        <x:v>K024</x:v>
      </x:c>
      <x:c r="B29" s="7" t="str">
        <x:v>mouse pad xxl gaming</x:v>
      </x:c>
      <x:c r="C29" s="7" t="str">
        <x:v>大尺寸</x:v>
      </x:c>
      <x:c r="D29" s="7" t="str">
        <x:v>候选</x:v>
      </x:c>
      <x:c r="E29" s="7" t="str">
        <x:v>否</x:v>
      </x:c>
      <x:c r="F29" s="31" t="n">
        <x:v>118646</x:v>
      </x:c>
      <x:c r="G29" s="31" t="n">
        <x:v>297</x:v>
      </x:c>
      <x:c r="H29" s="32" t="str">
        <x:v>周搜索量，日期及来源待核；首条原记录</x:v>
      </x:c>
      <x:c r="I29" s="12"/>
      <x:c r="J29" s="7" t="str">
        <x:v>大桌垫相关；超大规格用词不替代明确尺寸</x:v>
      </x:c>
      <x:c r="K29" s="7" t="str">
        <x:v>鼠标垫关键词.xlsx / Sheet1 行25
DE_Top_search_terms_Simple_Week_2025_11_15.xlsx / DE_Top_search_terms_Simple_Week 行26
鼠标垫推广跟进表格-2025.08.16.xlsx / 关键词词库-90 40 行91</x:v>
      </x:c>
    </x:row>
    <x:row r="30" ht="30" customHeight="1">
      <x:c r="A30" s="7" t="str">
        <x:v>K025</x:v>
      </x:c>
      <x:c r="B30" s="7" t="str">
        <x:v>mausoad</x:v>
      </x:c>
      <x:c r="C30" s="7" t="str">
        <x:v>错拼变体</x:v>
      </x:c>
      <x:c r="D30" s="7" t="str">
        <x:v>保留待核验</x:v>
      </x:c>
      <x:c r="E30" s="7" t="str">
        <x:v>否</x:v>
      </x:c>
      <x:c r="F30" s="31" t="n">
        <x:v>119726</x:v>
      </x:c>
      <x:c r="G30" s="31"/>
      <x:c r="H30" s="32" t="str">
        <x:v>无量记录</x:v>
      </x:c>
      <x:c r="I30" s="12"/>
      <x:c r="J30" s="7" t="str">
        <x:v>错拼不主动铺设；以实际查询表现决定</x:v>
      </x:c>
      <x:c r="K30" s="7" t="str">
        <x:v>鼠标垫关键词.xlsx / Sheet1 行26
DE_Top_search_terms_Simple_Week_2025_11_15.xlsx / DE_Top_search_terms_Simple_Week 行27
鼠标垫推广跟进表格-2025.08.16.xlsx / 关键词词库-小尺寸加护托 行36</x:v>
      </x:c>
    </x:row>
    <x:row r="31" ht="30" customHeight="1">
      <x:c r="A31" s="7" t="str">
        <x:v>K026</x:v>
      </x:c>
      <x:c r="B31" s="7" t="str">
        <x:v>gaming mousepad xxl</x:v>
      </x:c>
      <x:c r="C31" s="7" t="str">
        <x:v>大尺寸</x:v>
      </x:c>
      <x:c r="D31" s="7" t="str">
        <x:v>候选</x:v>
      </x:c>
      <x:c r="E31" s="7" t="str">
        <x:v>是</x:v>
      </x:c>
      <x:c r="F31" s="31" t="n">
        <x:v>122089</x:v>
      </x:c>
      <x:c r="G31" s="31" t="n">
        <x:v>223</x:v>
      </x:c>
      <x:c r="H31" s="32" t="str">
        <x:v>周搜索量，日期及来源待核；首条原记录</x:v>
      </x:c>
      <x:c r="I31" s="12"/>
      <x:c r="J31" s="7" t="str">
        <x:v>大桌垫相关；超大规格用词不替代明确尺寸</x:v>
      </x:c>
      <x:c r="K31" s="7" t="str">
        <x:v>鼠标垫关键词.xlsx / Sheet1 行27
DE_Top_search_terms_Simple_Week_2025_11_15.xlsx / DE_Top_search_terms_Simple_Week 行28
鼠标垫推广跟进表格-2025.08.16.xlsx / 关键词词库-90 40 行104
鼠标垫推广跟进表格-2025.08.16.xlsx / 2026.08.07梳理ST关键词 行4</x:v>
      </x:c>
    </x:row>
    <x:row r="32" ht="30" customHeight="1">
      <x:c r="A32" s="7" t="str">
        <x:v>K027</x:v>
      </x:c>
      <x:c r="B32" s="7" t="str">
        <x:v>mauspad gaming xxl</x:v>
      </x:c>
      <x:c r="C32" s="7" t="str">
        <x:v>大尺寸</x:v>
      </x:c>
      <x:c r="D32" s="7" t="str">
        <x:v>候选</x:v>
      </x:c>
      <x:c r="E32" s="7" t="str">
        <x:v>否</x:v>
      </x:c>
      <x:c r="F32" s="31" t="n">
        <x:v>122089</x:v>
      </x:c>
      <x:c r="G32" s="31" t="n">
        <x:v>245</x:v>
      </x:c>
      <x:c r="H32" s="32" t="str">
        <x:v>周搜索量，日期及来源待核；首条原记录</x:v>
      </x:c>
      <x:c r="I32" s="12"/>
      <x:c r="J32" s="7" t="str">
        <x:v>大桌垫相关；超大规格用词不替代明确尺寸</x:v>
      </x:c>
      <x:c r="K32" s="7" t="str">
        <x:v>鼠标垫关键词.xlsx / Sheet1 行28
DE_Top_search_terms_Simple_Week_2025_11_15.xlsx / DE_Top_search_terms_Simple_Week 行29
鼠标垫推广跟进表格-2025.08.16.xlsx / 关键词词库-90 40 行105</x:v>
      </x:c>
    </x:row>
    <x:row r="33" ht="30" customHeight="1">
      <x:c r="A33" s="7" t="str">
        <x:v>K028</x:v>
      </x:c>
      <x:c r="B33" s="7" t="str">
        <x:v>gaming mouse pad</x:v>
      </x:c>
      <x:c r="C33" s="7" t="str">
        <x:v>游戏场景</x:v>
      </x:c>
      <x:c r="D33" s="7" t="str">
        <x:v>候选</x:v>
      </x:c>
      <x:c r="E33" s="7" t="str">
        <x:v>否</x:v>
      </x:c>
      <x:c r="F33" s="31" t="n">
        <x:v>133724</x:v>
      </x:c>
      <x:c r="G33" s="31" t="n">
        <x:v>313</x:v>
      </x:c>
      <x:c r="H33" s="32" t="str">
        <x:v>周搜索量，日期及来源待核；首条原记录</x:v>
      </x:c>
      <x:c r="I33" s="12"/>
      <x:c r="J33" s="7" t="str">
        <x:v>游戏使用场景，不表示已验证专业性能</x:v>
      </x:c>
      <x:c r="K33" s="7" t="str">
        <x:v>鼠标垫关键词.xlsx / Sheet1 行29
DE_Top_search_terms_Simple_Week_2025_11_15.xlsx / DE_Top_search_terms_Simple_Week 行30
鼠标垫推广跟进表格-2025.08.16.xlsx / 关键词词库-90 40 行93</x:v>
      </x:c>
    </x:row>
    <x:row r="34" ht="30" customHeight="1">
      <x:c r="A34" s="7" t="str">
        <x:v>K029</x:v>
      </x:c>
      <x:c r="B34" s="7" t="str">
        <x:v>deskmat</x:v>
      </x:c>
      <x:c r="C34" s="7" t="str">
        <x:v>品类或桌面场景</x:v>
      </x:c>
      <x:c r="D34" s="7" t="str">
        <x:v>候选</x:v>
      </x:c>
      <x:c r="E34" s="7" t="str">
        <x:v>否</x:v>
      </x:c>
      <x:c r="F34" s="31" t="n">
        <x:v>138092</x:v>
      </x:c>
      <x:c r="G34" s="31"/>
      <x:c r="H34" s="32" t="str">
        <x:v>无量记录</x:v>
      </x:c>
      <x:c r="I34" s="12"/>
      <x:c r="J34" s="7" t="str">
        <x:v>品类/桌面使用相关；宽泛桌垫词需小范围测试</x:v>
      </x:c>
      <x:c r="K34" s="7" t="str">
        <x:v>鼠标垫关键词.xlsx / Sheet1 行30
DE_Top_search_terms_Simple_Week_2025_11_15.xlsx / DE_Top_search_terms_Simple_Week 行31</x:v>
      </x:c>
    </x:row>
    <x:row r="35" ht="30" customHeight="1">
      <x:c r="A35" s="7" t="str">
        <x:v>K030</x:v>
      </x:c>
      <x:c r="B35" s="7" t="str">
        <x:v>titanwolf mauspad 900x400</x:v>
      </x:c>
      <x:c r="C35" s="7" t="str">
        <x:v>竞品品牌</x:v>
      </x:c>
      <x:c r="D35" s="7" t="str">
        <x:v>保留待核验</x:v>
      </x:c>
      <x:c r="E35" s="7" t="str">
        <x:v>否</x:v>
      </x:c>
      <x:c r="F35" s="31" t="n">
        <x:v>144206</x:v>
      </x:c>
      <x:c r="G35" s="31" t="n">
        <x:v>162</x:v>
      </x:c>
      <x:c r="H35" s="32" t="str">
        <x:v>周搜索量，日期及来源待核；首条原记录</x:v>
      </x:c>
      <x:c r="I35" s="12"/>
      <x:c r="J35" s="7" t="str">
        <x:v>首轮不验证竞品品牌意图；可另设专项，不能当自有品牌</x:v>
      </x:c>
      <x:c r="K35" s="7" t="str">
        <x:v>鼠标垫关键词.xlsx / Sheet1 行31
DE_Top_search_terms_Simple_Week_2025_11_15.xlsx / DE_Top_search_terms_Simple_Week 行32
鼠标垫推广跟进表格-2025.08.16.xlsx / 关键词词库-90 40 行121</x:v>
      </x:c>
    </x:row>
    <x:row r="36" ht="30" customHeight="1">
      <x:c r="A36" s="7" t="str">
        <x:v>K031</x:v>
      </x:c>
      <x:c r="B36" s="7" t="str">
        <x:v>xxl gaming mauspad</x:v>
      </x:c>
      <x:c r="C36" s="7" t="str">
        <x:v>大尺寸</x:v>
      </x:c>
      <x:c r="D36" s="7" t="str">
        <x:v>候选</x:v>
      </x:c>
      <x:c r="E36" s="7" t="str">
        <x:v>否</x:v>
      </x:c>
      <x:c r="F36" s="31" t="n">
        <x:v>152869</x:v>
      </x:c>
      <x:c r="G36" s="31" t="n">
        <x:v>83</x:v>
      </x:c>
      <x:c r="H36" s="32" t="str">
        <x:v>周搜索量，日期及来源待核；首条原记录</x:v>
      </x:c>
      <x:c r="I36" s="12"/>
      <x:c r="J36" s="7" t="str">
        <x:v>大桌垫相关；超大规格用词不替代明确尺寸</x:v>
      </x:c>
      <x:c r="K36" s="7" t="str">
        <x:v>鼠标垫关键词.xlsx / Sheet1 行32
DE_Top_search_terms_Simple_Week_2025_11_15.xlsx / DE_Top_search_terms_Simple_Week 行33
鼠标垫推广跟进表格-2025.08.16.xlsx / 关键词词库-90 40 行108</x:v>
      </x:c>
    </x:row>
    <x:row r="37" ht="30" customHeight="1">
      <x:c r="A37" s="7" t="str">
        <x:v>K032</x:v>
      </x:c>
      <x:c r="B37" s="7" t="str">
        <x:v>mauspad xl</x:v>
      </x:c>
      <x:c r="C37" s="7" t="str">
        <x:v>大尺寸</x:v>
      </x:c>
      <x:c r="D37" s="7" t="str">
        <x:v>候选</x:v>
      </x:c>
      <x:c r="E37" s="7" t="str">
        <x:v>否</x:v>
      </x:c>
      <x:c r="F37" s="31" t="n">
        <x:v>158472</x:v>
      </x:c>
      <x:c r="G37" s="31" t="n">
        <x:v>252</x:v>
      </x:c>
      <x:c r="H37" s="32" t="str">
        <x:v>周搜索量，日期及来源待核；首条原记录</x:v>
      </x:c>
      <x:c r="I37" s="12"/>
      <x:c r="J37" s="7" t="str">
        <x:v>大桌垫相关；超大规格用词不替代明确尺寸</x:v>
      </x:c>
      <x:c r="K37" s="7" t="str">
        <x:v>鼠标垫关键词.xlsx / Sheet1 行33
DE_Top_search_terms_Simple_Week_2025_11_15.xlsx / DE_Top_search_terms_Simple_Week 行34
鼠标垫推广跟进表格-2025.08.16.xlsx / 关键词词库-90 40 行55</x:v>
      </x:c>
    </x:row>
    <x:row r="38" ht="30" customHeight="1">
      <x:c r="A38" s="7" t="str">
        <x:v>K033</x:v>
      </x:c>
      <x:c r="B38" s="7" t="str">
        <x:v>mousepad 900x400</x:v>
      </x:c>
      <x:c r="C38" s="7" t="str">
        <x:v>900×400精确尺寸</x:v>
      </x:c>
      <x:c r="D38" s="7" t="str">
        <x:v>候选</x:v>
      </x:c>
      <x:c r="E38" s="7" t="str">
        <x:v>是</x:v>
      </x:c>
      <x:c r="F38" s="31" t="n">
        <x:v>160554</x:v>
      </x:c>
      <x:c r="G38" s="31" t="n">
        <x:v>368</x:v>
      </x:c>
      <x:c r="H38" s="32" t="str">
        <x:v>周搜索量，日期及来源待核；首条原记录</x:v>
      </x:c>
      <x:c r="I38" s="12"/>
      <x:c r="J38" s="7" t="str">
        <x:v>与本轮实际尺寸一致</x:v>
      </x:c>
      <x:c r="K38" s="7" t="str">
        <x:v>鼠标垫关键词.xlsx / Sheet1 行34
DE_Top_search_terms_Simple_Week_2025_11_15.xlsx / DE_Top_search_terms_Simple_Week 行35
鼠标垫推广跟进表格-2025.08.16.xlsx / 关键词词库-90 40 行29,51</x:v>
      </x:c>
    </x:row>
    <x:row r="39" ht="30" customHeight="1">
      <x:c r="A39" s="7" t="str">
        <x:v>K034</x:v>
      </x:c>
      <x:c r="B39" s="7" t="str">
        <x:v>mouse mat</x:v>
      </x:c>
      <x:c r="C39" s="7" t="str">
        <x:v>品类或桌面场景</x:v>
      </x:c>
      <x:c r="D39" s="7" t="str">
        <x:v>候选</x:v>
      </x:c>
      <x:c r="E39" s="7" t="str">
        <x:v>否</x:v>
      </x:c>
      <x:c r="F39" s="31" t="n">
        <x:v>166868</x:v>
      </x:c>
      <x:c r="G39" s="31" t="n">
        <x:v>309</x:v>
      </x:c>
      <x:c r="H39" s="32" t="str">
        <x:v>搜索量，日期及来源待核；首条原记录</x:v>
      </x:c>
      <x:c r="I39" s="12"/>
      <x:c r="J39" s="7" t="str">
        <x:v>品类/桌面使用相关；宽泛桌垫词需小范围测试</x:v>
      </x:c>
      <x:c r="K39" s="7" t="str">
        <x:v>鼠标垫关键词.xlsx / Sheet1 行35
DE_Top_search_terms_Simple_Week_2025_11_15.xlsx / DE_Top_search_terms_Simple_Week 行36
鼠标垫推广跟进表格-2025.08.16.xlsx / 关键词词库-90 40 行9
鼠标垫推广跟进表格-2025.08.16.xlsx / 关键词词库-小尺寸加护托 行15</x:v>
      </x:c>
    </x:row>
    <x:row r="40" ht="30" customHeight="1">
      <x:c r="A40" s="7" t="str">
        <x:v>K035</x:v>
      </x:c>
      <x:c r="B40" s="7" t="str">
        <x:v>deskpad</x:v>
      </x:c>
      <x:c r="C40" s="7" t="str">
        <x:v>品类或桌面场景</x:v>
      </x:c>
      <x:c r="D40" s="7" t="str">
        <x:v>候选</x:v>
      </x:c>
      <x:c r="E40" s="7" t="str">
        <x:v>否</x:v>
      </x:c>
      <x:c r="F40" s="31" t="n">
        <x:v>175879</x:v>
      </x:c>
      <x:c r="G40" s="31" t="n">
        <x:v>186</x:v>
      </x:c>
      <x:c r="H40" s="32" t="str">
        <x:v>搜索量，日期及来源待核；首条原记录</x:v>
      </x:c>
      <x:c r="I40" s="12"/>
      <x:c r="J40" s="7" t="str">
        <x:v>品类/桌面使用相关；宽泛桌垫词需小范围测试</x:v>
      </x:c>
      <x:c r="K40" s="7" t="str">
        <x:v>鼠标垫关键词.xlsx / Sheet1 行36
DE_Top_search_terms_Simple_Week_2025_11_15.xlsx / DE_Top_search_terms_Simple_Week 行37
鼠标垫推广跟进表格-2025.08.16.xlsx / 关键词词库-90 40 行11</x:v>
      </x:c>
    </x:row>
    <x:row r="41" ht="30" customHeight="1">
      <x:c r="A41" s="7" t="str">
        <x:v>K036</x:v>
      </x:c>
      <x:c r="B41" s="7" t="str">
        <x:v>mausmatte</x:v>
      </x:c>
      <x:c r="C41" s="7" t="str">
        <x:v>品类或桌面场景</x:v>
      </x:c>
      <x:c r="D41" s="7" t="str">
        <x:v>候选</x:v>
      </x:c>
      <x:c r="E41" s="7" t="str">
        <x:v>否</x:v>
      </x:c>
      <x:c r="F41" s="31" t="n">
        <x:v>205792</x:v>
      </x:c>
      <x:c r="G41" s="31"/>
      <x:c r="H41" s="32" t="str">
        <x:v>无量记录</x:v>
      </x:c>
      <x:c r="I41" s="12"/>
      <x:c r="J41" s="7" t="str">
        <x:v>品类/桌面使用相关；宽泛桌垫词需小范围测试</x:v>
      </x:c>
      <x:c r="K41" s="7" t="str">
        <x:v>鼠标垫关键词.xlsx / Sheet1 行37
DE_Top_search_terms_Simple_Week_2025_11_15.xlsx / DE_Top_search_terms_Simple_Week 行38
鼠标垫推广跟进表格-2025.08.16.xlsx / 关键词词库-小尺寸加护托 行41</x:v>
      </x:c>
    </x:row>
    <x:row r="42" ht="30" customHeight="1">
      <x:c r="A42" s="7" t="str">
        <x:v>K037</x:v>
      </x:c>
      <x:c r="B42" s="7" t="str">
        <x:v>mouse pad gaming</x:v>
      </x:c>
      <x:c r="C42" s="7" t="str">
        <x:v>游戏场景</x:v>
      </x:c>
      <x:c r="D42" s="7" t="str">
        <x:v>候选</x:v>
      </x:c>
      <x:c r="E42" s="7" t="str">
        <x:v>否</x:v>
      </x:c>
      <x:c r="F42" s="31" t="n">
        <x:v>212290</x:v>
      </x:c>
      <x:c r="G42" s="31" t="n">
        <x:v>145</x:v>
      </x:c>
      <x:c r="H42" s="32" t="str">
        <x:v>周搜索量，日期及来源待核；首条原记录</x:v>
      </x:c>
      <x:c r="I42" s="12"/>
      <x:c r="J42" s="7" t="str">
        <x:v>游戏使用场景，不表示已验证专业性能</x:v>
      </x:c>
      <x:c r="K42" s="7" t="str">
        <x:v>鼠标垫关键词.xlsx / Sheet1 行38
DE_Top_search_terms_Simple_Week_2025_11_15.xlsx / DE_Top_search_terms_Simple_Week 行39
鼠标垫推广跟进表格-2025.08.16.xlsx / 关键词词库-90 40 行107</x:v>
      </x:c>
    </x:row>
    <x:row r="43" ht="30" customHeight="1">
      <x:c r="A43" s="7" t="str">
        <x:v>K038</x:v>
      </x:c>
      <x:c r="B43" s="7" t="str">
        <x:v>schreibtischunterlage gaming</x:v>
      </x:c>
      <x:c r="C43" s="7" t="str">
        <x:v>游戏场景</x:v>
      </x:c>
      <x:c r="D43" s="7" t="str">
        <x:v>候选</x:v>
      </x:c>
      <x:c r="E43" s="7" t="str">
        <x:v>否</x:v>
      </x:c>
      <x:c r="F43" s="31" t="n">
        <x:v>223220</x:v>
      </x:c>
      <x:c r="G43" s="31" t="n">
        <x:v>172</x:v>
      </x:c>
      <x:c r="H43" s="32" t="str">
        <x:v>周搜索量，日期及来源待核；首条原记录</x:v>
      </x:c>
      <x:c r="I43" s="12"/>
      <x:c r="J43" s="7" t="str">
        <x:v>游戏使用场景，不表示已验证专业性能</x:v>
      </x:c>
      <x:c r="K43" s="7" t="str">
        <x:v>鼠标垫关键词.xlsx / Sheet1 行39
DE_Top_search_terms_Simple_Week_2025_11_15.xlsx / DE_Top_search_terms_Simple_Week 行40
鼠标垫推广跟进表格-2025.08.16.xlsx / 关键词词库-90 40 行94</x:v>
      </x:c>
    </x:row>
    <x:row r="44" ht="30" customHeight="1">
      <x:c r="A44" s="7" t="str">
        <x:v>K039</x:v>
      </x:c>
      <x:c r="B44" s="7" t="str">
        <x:v>maus pad pc xxl</x:v>
      </x:c>
      <x:c r="C44" s="7" t="str">
        <x:v>大尺寸</x:v>
      </x:c>
      <x:c r="D44" s="7" t="str">
        <x:v>候选</x:v>
      </x:c>
      <x:c r="E44" s="7" t="str">
        <x:v>否</x:v>
      </x:c>
      <x:c r="F44" s="31" t="n">
        <x:v>231026</x:v>
      </x:c>
      <x:c r="G44" s="31" t="n">
        <x:v>99</x:v>
      </x:c>
      <x:c r="H44" s="32" t="str">
        <x:v>周搜索量，日期及来源待核；首条原记录</x:v>
      </x:c>
      <x:c r="I44" s="12"/>
      <x:c r="J44" s="7" t="str">
        <x:v>大桌垫相关；超大规格用词不替代明确尺寸</x:v>
      </x:c>
      <x:c r="K44" s="7" t="str">
        <x:v>鼠标垫关键词.xlsx / Sheet1 行40
DE_Top_search_terms_Simple_Week_2025_11_15.xlsx / DE_Top_search_terms_Simple_Week 行41
鼠标垫推广跟进表格-2025.08.16.xlsx / 关键词词库-90 40 行58</x:v>
      </x:c>
    </x:row>
    <x:row r="45" ht="30" customHeight="1">
      <x:c r="A45" s="7" t="str">
        <x:v>K040</x:v>
      </x:c>
      <x:c r="B45" s="7" t="str">
        <x:v>schreibtischunterlage xxl</x:v>
      </x:c>
      <x:c r="C45" s="7" t="str">
        <x:v>大尺寸</x:v>
      </x:c>
      <x:c r="D45" s="7" t="str">
        <x:v>候选</x:v>
      </x:c>
      <x:c r="E45" s="7" t="str">
        <x:v>否</x:v>
      </x:c>
      <x:c r="F45" s="31" t="n">
        <x:v>231026</x:v>
      </x:c>
      <x:c r="G45" s="31" t="n">
        <x:v>158</x:v>
      </x:c>
      <x:c r="H45" s="32" t="str">
        <x:v>周搜索量，日期及来源待核；首条原记录</x:v>
      </x:c>
      <x:c r="I45" s="12"/>
      <x:c r="J45" s="7" t="str">
        <x:v>大桌垫相关；超大规格用词不替代明确尺寸</x:v>
      </x:c>
      <x:c r="K45" s="7" t="str">
        <x:v>鼠标垫关键词.xlsx / Sheet1 行41
DE_Top_search_terms_Simple_Week_2025_11_15.xlsx / DE_Top_search_terms_Simple_Week 行42
鼠标垫推广跟进表格-2025.08.16.xlsx / 关键词词库-90 40 行57</x:v>
      </x:c>
    </x:row>
    <x:row r="46" ht="30" customHeight="1">
      <x:c r="A46" s="7" t="str">
        <x:v>K041</x:v>
      </x:c>
      <x:c r="B46" s="7" t="str">
        <x:v>gaming unterlage schreibtisch</x:v>
      </x:c>
      <x:c r="C46" s="7" t="str">
        <x:v>游戏场景</x:v>
      </x:c>
      <x:c r="D46" s="7" t="str">
        <x:v>候选</x:v>
      </x:c>
      <x:c r="E46" s="7" t="str">
        <x:v>否</x:v>
      </x:c>
      <x:c r="F46" s="31" t="n">
        <x:v>243489</x:v>
      </x:c>
      <x:c r="G46" s="31" t="n">
        <x:v>105</x:v>
      </x:c>
      <x:c r="H46" s="32" t="str">
        <x:v>周搜索量，日期及来源待核；首条原记录</x:v>
      </x:c>
      <x:c r="I46" s="12"/>
      <x:c r="J46" s="7" t="str">
        <x:v>游戏使用场景，不表示已验证专业性能</x:v>
      </x:c>
      <x:c r="K46" s="7" t="str">
        <x:v>鼠标垫关键词.xlsx / Sheet1 行42
DE_Top_search_terms_Simple_Week_2025_11_15.xlsx / DE_Top_search_terms_Simple_Week 行43
鼠标垫推广跟进表格-2025.08.16.xlsx / 关键词词库-90 40 行100</x:v>
      </x:c>
    </x:row>
    <x:row r="47" ht="30" customHeight="1">
      <x:c r="A47" s="7" t="str">
        <x:v>K042</x:v>
      </x:c>
      <x:c r="B47" s="7" t="str">
        <x:v>mauspad titanwolf</x:v>
      </x:c>
      <x:c r="C47" s="7" t="str">
        <x:v>竞品品牌</x:v>
      </x:c>
      <x:c r="D47" s="7" t="str">
        <x:v>保留待核验</x:v>
      </x:c>
      <x:c r="E47" s="7" t="str">
        <x:v>否</x:v>
      </x:c>
      <x:c r="F47" s="31" t="n">
        <x:v>243489</x:v>
      </x:c>
      <x:c r="G47" s="31" t="n">
        <x:v>89</x:v>
      </x:c>
      <x:c r="H47" s="32" t="str">
        <x:v>周搜索量，日期及来源待核；首条原记录</x:v>
      </x:c>
      <x:c r="I47" s="12"/>
      <x:c r="J47" s="7" t="str">
        <x:v>首轮不验证竞品品牌意图；可另设专项，不能当自有品牌</x:v>
      </x:c>
      <x:c r="K47" s="7" t="str">
        <x:v>鼠标垫关键词.xlsx / Sheet1 行43
DE_Top_search_terms_Simple_Week_2025_11_15.xlsx / DE_Top_search_terms_Simple_Week 行44
鼠标垫推广跟进表格-2025.08.16.xlsx / 关键词词库-90 40 行146</x:v>
      </x:c>
    </x:row>
    <x:row r="48" ht="30" customHeight="1">
      <x:c r="A48" s="7" t="str">
        <x:v>K043</x:v>
      </x:c>
      <x:c r="B48" s="7" t="str">
        <x:v>mauspaf</x:v>
      </x:c>
      <x:c r="C48" s="7" t="str">
        <x:v>错拼变体</x:v>
      </x:c>
      <x:c r="D48" s="7" t="str">
        <x:v>保留待核验</x:v>
      </x:c>
      <x:c r="E48" s="7" t="str">
        <x:v>否</x:v>
      </x:c>
      <x:c r="F48" s="31" t="n">
        <x:v>252806</x:v>
      </x:c>
      <x:c r="G48" s="31"/>
      <x:c r="H48" s="32" t="str">
        <x:v>无量记录</x:v>
      </x:c>
      <x:c r="I48" s="12"/>
      <x:c r="J48" s="7" t="str">
        <x:v>错拼不主动铺设；以实际查询表现决定</x:v>
      </x:c>
      <x:c r="K48" s="7" t="str">
        <x:v>鼠标垫关键词.xlsx / Sheet1 行44
DE_Top_search_terms_Simple_Week_2025_11_15.xlsx / DE_Top_search_terms_Simple_Week 行45</x:v>
      </x:c>
    </x:row>
    <x:row r="49" ht="30" customHeight="1">
      <x:c r="A49" s="7" t="str">
        <x:v>K044</x:v>
      </x:c>
      <x:c r="B49" s="7" t="str">
        <x:v>gaming mauspad 900x400</x:v>
      </x:c>
      <x:c r="C49" s="7" t="str">
        <x:v>900×400精确尺寸</x:v>
      </x:c>
      <x:c r="D49" s="7" t="str">
        <x:v>候选</x:v>
      </x:c>
      <x:c r="E49" s="7" t="str">
        <x:v>否</x:v>
      </x:c>
      <x:c r="F49" s="31" t="n">
        <x:v>257844</x:v>
      </x:c>
      <x:c r="G49" s="31"/>
      <x:c r="H49" s="32" t="str">
        <x:v>无量记录</x:v>
      </x:c>
      <x:c r="I49" s="12"/>
      <x:c r="J49" s="7" t="str">
        <x:v>与本轮实际尺寸一致</x:v>
      </x:c>
      <x:c r="K49" s="7" t="str">
        <x:v>鼠标垫关键词.xlsx / Sheet1 行45
DE_Top_search_terms_Simple_Week_2025_11_15.xlsx / DE_Top_search_terms_Simple_Week 行46</x:v>
      </x:c>
    </x:row>
    <x:row r="50" ht="30" customHeight="1">
      <x:c r="A50" s="7" t="str">
        <x:v>K045</x:v>
      </x:c>
      <x:c r="B50" s="7" t="str">
        <x:v>mauspet</x:v>
      </x:c>
      <x:c r="C50" s="7" t="str">
        <x:v>错拼变体</x:v>
      </x:c>
      <x:c r="D50" s="7" t="str">
        <x:v>保留待核验</x:v>
      </x:c>
      <x:c r="E50" s="7" t="str">
        <x:v>否</x:v>
      </x:c>
      <x:c r="F50" s="31" t="n">
        <x:v>263022</x:v>
      </x:c>
      <x:c r="G50" s="31"/>
      <x:c r="H50" s="32" t="str">
        <x:v>无量记录</x:v>
      </x:c>
      <x:c r="I50" s="12"/>
      <x:c r="J50" s="7" t="str">
        <x:v>错拼不主动铺设；以实际查询表现决定</x:v>
      </x:c>
      <x:c r="K50" s="7" t="str">
        <x:v>鼠标垫关键词.xlsx / Sheet1 行46
DE_Top_search_terms_Simple_Week_2025_11_15.xlsx / DE_Top_search_terms_Simple_Week 行47</x:v>
      </x:c>
    </x:row>
    <x:row r="51" ht="30" customHeight="1">
      <x:c r="A51" s="7" t="str">
        <x:v>K046</x:v>
      </x:c>
      <x:c r="B51" s="7" t="str">
        <x:v>m��use, tastaturen &amp; eingabeger��te</x:v>
      </x:c>
      <x:c r="C51" s="7" t="str">
        <x:v>编码异常</x:v>
      </x:c>
      <x:c r="D51" s="7" t="str">
        <x:v>排除</x:v>
      </x:c>
      <x:c r="E51" s="7" t="str">
        <x:v>否</x:v>
      </x:c>
      <x:c r="F51" s="31" t="n">
        <x:v>268270</x:v>
      </x:c>
      <x:c r="G51" s="31"/>
      <x:c r="H51" s="32" t="str">
        <x:v>无量记录</x:v>
      </x:c>
      <x:c r="I51" s="12"/>
      <x:c r="J51" s="7" t="str">
        <x:v>原文存在替换字符；需要原始编码复核，不自动猜测修复</x:v>
      </x:c>
      <x:c r="K51" s="7" t="str">
        <x:v>鼠标垫关键词.xlsx / Sheet1 行47
DE_Top_search_terms_Simple_Week_2025_11_15.xlsx / DE_Top_search_terms_Simple_Week 行48</x:v>
      </x:c>
    </x:row>
    <x:row r="52" ht="30" customHeight="1">
      <x:c r="A52" s="7" t="str">
        <x:v>K047</x:v>
      </x:c>
      <x:c r="B52" s="7" t="str">
        <x:v>mousepad xl</x:v>
      </x:c>
      <x:c r="C52" s="7" t="str">
        <x:v>大尺寸</x:v>
      </x:c>
      <x:c r="D52" s="7" t="str">
        <x:v>候选</x:v>
      </x:c>
      <x:c r="E52" s="7" t="str">
        <x:v>否</x:v>
      </x:c>
      <x:c r="F52" s="31" t="n">
        <x:v>273867</x:v>
      </x:c>
      <x:c r="G52" s="31" t="n">
        <x:v>151</x:v>
      </x:c>
      <x:c r="H52" s="32" t="str">
        <x:v>周搜索量，日期及来源待核；首条原记录</x:v>
      </x:c>
      <x:c r="I52" s="12"/>
      <x:c r="J52" s="7" t="str">
        <x:v>大桌垫相关；超大规格用词不替代明确尺寸</x:v>
      </x:c>
      <x:c r="K52" s="7" t="str">
        <x:v>鼠标垫关键词.xlsx / Sheet1 行48
DE_Top_search_terms_Simple_Week_2025_11_15.xlsx / DE_Top_search_terms_Simple_Week 行49
鼠标垫推广跟进表格-2025.08.16.xlsx / 关键词词库-90 40 行56</x:v>
      </x:c>
    </x:row>
    <x:row r="53" ht="30" customHeight="1">
      <x:c r="A53" s="7" t="str">
        <x:v>K048</x:v>
      </x:c>
      <x:c r="B53" s="7" t="str">
        <x:v>mouse pad xxl</x:v>
      </x:c>
      <x:c r="C53" s="7" t="str">
        <x:v>大尺寸</x:v>
      </x:c>
      <x:c r="D53" s="7" t="str">
        <x:v>候选</x:v>
      </x:c>
      <x:c r="E53" s="7" t="str">
        <x:v>否</x:v>
      </x:c>
      <x:c r="F53" s="31" t="n">
        <x:v>297553</x:v>
      </x:c>
      <x:c r="G53" s="31" t="n">
        <x:v>190</x:v>
      </x:c>
      <x:c r="H53" s="32" t="str">
        <x:v>周搜索量，日期及来源待核；首条原记录</x:v>
      </x:c>
      <x:c r="I53" s="12"/>
      <x:c r="J53" s="7" t="str">
        <x:v>大桌垫相关；超大规格用词不替代明确尺寸</x:v>
      </x:c>
      <x:c r="K53" s="7" t="str">
        <x:v>鼠标垫关键词.xlsx / Sheet1 行49
DE_Top_search_terms_Simple_Week_2025_11_15.xlsx / DE_Top_search_terms_Simple_Week 行50
鼠标垫推广跟进表格-2025.08.16.xlsx / 关键词词库-90 40 行54</x:v>
      </x:c>
    </x:row>
    <x:row r="54" ht="30" customHeight="1">
      <x:c r="A54" s="7" t="str">
        <x:v>K049</x:v>
      </x:c>
      <x:c r="B54" s="7" t="str">
        <x:v>mouse pads</x:v>
      </x:c>
      <x:c r="C54" s="7" t="str">
        <x:v>品类或桌面场景</x:v>
      </x:c>
      <x:c r="D54" s="7" t="str">
        <x:v>候选</x:v>
      </x:c>
      <x:c r="E54" s="7" t="str">
        <x:v>否</x:v>
      </x:c>
      <x:c r="F54" s="31" t="n">
        <x:v>310991</x:v>
      </x:c>
      <x:c r="G54" s="31" t="n">
        <x:v>212</x:v>
      </x:c>
      <x:c r="H54" s="32" t="str">
        <x:v>搜索量，日期及来源待核；首条原记录</x:v>
      </x:c>
      <x:c r="I54" s="12"/>
      <x:c r="J54" s="7" t="str">
        <x:v>品类/桌面使用相关；宽泛桌垫词需小范围测试</x:v>
      </x:c>
      <x:c r="K54" s="7" t="str">
        <x:v>鼠标垫关键词.xlsx / Sheet1 行50
DE_Top_search_terms_Simple_Week_2025_11_15.xlsx / DE_Top_search_terms_Simple_Week 行51
鼠标垫推广跟进表格-2025.08.16.xlsx / 关键词词库-90 40 行12
鼠标垫推广跟进表格-2025.08.16.xlsx / 关键词词库-小尺寸加护托 行18</x:v>
      </x:c>
    </x:row>
    <x:row r="55" ht="30" customHeight="1">
      <x:c r="A55" s="7" t="str">
        <x:v>K050</x:v>
      </x:c>
      <x:c r="B55" s="7" t="str">
        <x:v>xxxl mauspad</x:v>
      </x:c>
      <x:c r="C55" s="7" t="str">
        <x:v>大尺寸</x:v>
      </x:c>
      <x:c r="D55" s="7" t="str">
        <x:v>候选</x:v>
      </x:c>
      <x:c r="E55" s="7" t="str">
        <x:v>否</x:v>
      </x:c>
      <x:c r="F55" s="31" t="n">
        <x:v>325702</x:v>
      </x:c>
      <x:c r="G55" s="31" t="n">
        <x:v>77</x:v>
      </x:c>
      <x:c r="H55" s="32" t="str">
        <x:v>周搜索量，日期及来源待核；首条原记录</x:v>
      </x:c>
      <x:c r="I55" s="12"/>
      <x:c r="J55" s="7" t="str">
        <x:v>大桌垫相关；超大规格用词不替代明确尺寸</x:v>
      </x:c>
      <x:c r="K55" s="7" t="str">
        <x:v>鼠标垫关键词.xlsx / Sheet1 行51
DE_Top_search_terms_Simple_Week_2025_11_15.xlsx / DE_Top_search_terms_Simple_Week 行52
鼠标垫推广跟进表格-2025.08.16.xlsx / 关键词词库-90 40 行72</x:v>
      </x:c>
    </x:row>
    <x:row r="56" ht="30" customHeight="1">
      <x:c r="A56" s="7" t="str">
        <x:v>K051</x:v>
      </x:c>
      <x:c r="B56" s="7" t="str">
        <x:v>xl mauspad</x:v>
      </x:c>
      <x:c r="C56" s="7" t="str">
        <x:v>大尺寸</x:v>
      </x:c>
      <x:c r="D56" s="7" t="str">
        <x:v>候选</x:v>
      </x:c>
      <x:c r="E56" s="7" t="str">
        <x:v>否</x:v>
      </x:c>
      <x:c r="F56" s="31" t="n">
        <x:v>333622</x:v>
      </x:c>
      <x:c r="G56" s="31" t="n">
        <x:v>105</x:v>
      </x:c>
      <x:c r="H56" s="32" t="str">
        <x:v>周搜索量，日期及来源待核；首条原记录</x:v>
      </x:c>
      <x:c r="I56" s="12"/>
      <x:c r="J56" s="7" t="str">
        <x:v>大桌垫相关；超大规格用词不替代明确尺寸</x:v>
      </x:c>
      <x:c r="K56" s="7" t="str">
        <x:v>鼠标垫关键词.xlsx / Sheet1 行52
DE_Top_search_terms_Simple_Week_2025_11_15.xlsx / DE_Top_search_terms_Simple_Week 行53
鼠标垫推广跟进表格-2025.08.16.xlsx / 关键词词库-90 40 行67</x:v>
      </x:c>
    </x:row>
    <x:row r="57" ht="30" customHeight="1">
      <x:c r="A57" s="7" t="str">
        <x:v>K052</x:v>
      </x:c>
      <x:c r="B57" s="7" t="str">
        <x:v>mousepad gaming xxl</x:v>
      </x:c>
      <x:c r="C57" s="7" t="str">
        <x:v>大尺寸</x:v>
      </x:c>
      <x:c r="D57" s="7" t="str">
        <x:v>候选</x:v>
      </x:c>
      <x:c r="E57" s="7" t="str">
        <x:v>否</x:v>
      </x:c>
      <x:c r="F57" s="31" t="n">
        <x:v>350228</x:v>
      </x:c>
      <x:c r="G57" s="31"/>
      <x:c r="H57" s="32" t="str">
        <x:v>无量记录</x:v>
      </x:c>
      <x:c r="I57" s="12"/>
      <x:c r="J57" s="7" t="str">
        <x:v>大桌垫相关；超大规格用词不替代明确尺寸</x:v>
      </x:c>
      <x:c r="K57" s="7" t="str">
        <x:v>鼠标垫关键词.xlsx / Sheet1 行53
DE_Top_search_terms_Simple_Week_2025_11_15.xlsx / DE_Top_search_terms_Simple_Week 行54
鼠标垫推广跟进表格-2025.08.16.xlsx / 关键词词库-90 40 行109,110</x:v>
      </x:c>
    </x:row>
    <x:row r="58" ht="30" customHeight="1">
      <x:c r="A58" s="7" t="str">
        <x:v>K053</x:v>
      </x:c>
      <x:c r="B58" s="7" t="str">
        <x:v>xl mousepad</x:v>
      </x:c>
      <x:c r="C58" s="7" t="str">
        <x:v>大尺寸</x:v>
      </x:c>
      <x:c r="D58" s="7" t="str">
        <x:v>候选</x:v>
      </x:c>
      <x:c r="E58" s="7" t="str">
        <x:v>否</x:v>
      </x:c>
      <x:c r="F58" s="31" t="n">
        <x:v>350228</x:v>
      </x:c>
      <x:c r="G58" s="31" t="n">
        <x:v>118</x:v>
      </x:c>
      <x:c r="H58" s="32" t="str">
        <x:v>周搜索量，日期及来源待核；首条原记录</x:v>
      </x:c>
      <x:c r="I58" s="12"/>
      <x:c r="J58" s="7" t="str">
        <x:v>大桌垫相关；超大规格用词不替代明确尺寸</x:v>
      </x:c>
      <x:c r="K58" s="7" t="str">
        <x:v>鼠标垫关键词.xlsx / Sheet1 行54
DE_Top_search_terms_Simple_Week_2025_11_15.xlsx / DE_Top_search_terms_Simple_Week 行55
鼠标垫推广跟进表格-2025.08.16.xlsx / 关键词词库-90 40 行68</x:v>
      </x:c>
    </x:row>
    <x:row r="59" ht="30" customHeight="1">
      <x:c r="A59" s="7" t="str">
        <x:v>K054</x:v>
      </x:c>
      <x:c r="B59" s="7" t="str">
        <x:v>xxl mauspad 900x400</x:v>
      </x:c>
      <x:c r="C59" s="7" t="str">
        <x:v>900×400精确尺寸</x:v>
      </x:c>
      <x:c r="D59" s="7" t="str">
        <x:v>候选</x:v>
      </x:c>
      <x:c r="E59" s="7" t="str">
        <x:v>否</x:v>
      </x:c>
      <x:c r="F59" s="31" t="n">
        <x:v>350228</x:v>
      </x:c>
      <x:c r="G59" s="31"/>
      <x:c r="H59" s="32" t="str">
        <x:v>无量记录</x:v>
      </x:c>
      <x:c r="I59" s="12"/>
      <x:c r="J59" s="7" t="str">
        <x:v>与本轮实际尺寸一致</x:v>
      </x:c>
      <x:c r="K59" s="7" t="str">
        <x:v>鼠标垫关键词.xlsx / Sheet1 行55
DE_Top_search_terms_Simple_Week_2025_11_15.xlsx / DE_Top_search_terms_Simple_Week 行56
鼠标垫推广跟进表格-2025.08.16.xlsx / 关键词词库-90 40 行71</x:v>
      </x:c>
    </x:row>
    <x:row r="60" ht="30" customHeight="1">
      <x:c r="A60" s="7" t="str">
        <x:v>K055</x:v>
      </x:c>
      <x:c r="B60" s="7" t="str">
        <x:v>gaming mouse pads</x:v>
      </x:c>
      <x:c r="C60" s="7" t="str">
        <x:v>游戏场景</x:v>
      </x:c>
      <x:c r="D60" s="7" t="str">
        <x:v>候选</x:v>
      </x:c>
      <x:c r="E60" s="7" t="str">
        <x:v>否</x:v>
      </x:c>
      <x:c r="F60" s="31" t="n">
        <x:v>368737</x:v>
      </x:c>
      <x:c r="G60" s="31"/>
      <x:c r="H60" s="32" t="str">
        <x:v>无量记录</x:v>
      </x:c>
      <x:c r="I60" s="12"/>
      <x:c r="J60" s="7" t="str">
        <x:v>游戏使用场景，不表示已验证专业性能</x:v>
      </x:c>
      <x:c r="K60" s="7" t="str">
        <x:v>鼠标垫关键词.xlsx / Sheet1 行56
DE_Top_search_terms_Simple_Week_2025_11_15.xlsx / DE_Top_search_terms_Simple_Week 行57
鼠标垫推广跟进表格-2025.08.16.xlsx / 关键词词库-90 40 行99</x:v>
      </x:c>
    </x:row>
    <x:row r="61" ht="30" customHeight="1">
      <x:c r="A61" s="7" t="str">
        <x:v>K056</x:v>
      </x:c>
      <x:c r="B61" s="7" t="str">
        <x:v>mauspad groß gaming</x:v>
      </x:c>
      <x:c r="C61" s="7" t="str">
        <x:v>大尺寸</x:v>
      </x:c>
      <x:c r="D61" s="7" t="str">
        <x:v>候选</x:v>
      </x:c>
      <x:c r="E61" s="7" t="str">
        <x:v>否</x:v>
      </x:c>
      <x:c r="F61" s="31" t="n">
        <x:v>368737</x:v>
      </x:c>
      <x:c r="G61" s="31" t="n">
        <x:v>77</x:v>
      </x:c>
      <x:c r="H61" s="32" t="str">
        <x:v>周搜索量，日期及来源待核；首条原记录</x:v>
      </x:c>
      <x:c r="I61" s="12"/>
      <x:c r="J61" s="7" t="str">
        <x:v>大桌垫相关；超大规格用词不替代明确尺寸</x:v>
      </x:c>
      <x:c r="K61" s="7" t="str">
        <x:v>鼠标垫关键词.xlsx / Sheet1 行57
DE_Top_search_terms_Simple_Week_2025_11_15.xlsx / DE_Top_search_terms_Simple_Week 行58
鼠标垫推广跟进表格-2025.08.16.xlsx / 关键词词库-90 40 行96</x:v>
      </x:c>
    </x:row>
    <x:row r="62" ht="30" customHeight="1">
      <x:c r="A62" s="7" t="str">
        <x:v>K057</x:v>
      </x:c>
      <x:c r="B62" s="7" t="str">
        <x:v>großes mauspad gaming</x:v>
      </x:c>
      <x:c r="C62" s="7" t="str">
        <x:v>大尺寸</x:v>
      </x:c>
      <x:c r="D62" s="7" t="str">
        <x:v>候选</x:v>
      </x:c>
      <x:c r="E62" s="7" t="str">
        <x:v>否</x:v>
      </x:c>
      <x:c r="F62" s="31" t="n">
        <x:v>378796</x:v>
      </x:c>
      <x:c r="G62" s="31" t="n">
        <x:v>83</x:v>
      </x:c>
      <x:c r="H62" s="32" t="str">
        <x:v>周搜索量，日期及来源待核；首条原记录</x:v>
      </x:c>
      <x:c r="I62" s="12"/>
      <x:c r="J62" s="7" t="str">
        <x:v>大桌垫相关；超大规格用词不替代明确尺寸</x:v>
      </x:c>
      <x:c r="K62" s="7" t="str">
        <x:v>鼠标垫关键词.xlsx / Sheet1 行58
DE_Top_search_terms_Simple_Week_2025_11_15.xlsx / DE_Top_search_terms_Simple_Week 行59
鼠标垫推广跟进表格-2025.08.16.xlsx / 关键词词库-90 40 行98</x:v>
      </x:c>
    </x:row>
    <x:row r="63" ht="30" customHeight="1">
      <x:c r="A63" s="7" t="str">
        <x:v>K058</x:v>
      </x:c>
      <x:c r="B63" s="7" t="str">
        <x:v>mauspat</x:v>
      </x:c>
      <x:c r="C63" s="7" t="str">
        <x:v>错拼变体</x:v>
      </x:c>
      <x:c r="D63" s="7" t="str">
        <x:v>保留待核验</x:v>
      </x:c>
      <x:c r="E63" s="7" t="str">
        <x:v>否</x:v>
      </x:c>
      <x:c r="F63" s="31" t="n">
        <x:v>378796</x:v>
      </x:c>
      <x:c r="G63" s="31"/>
      <x:c r="H63" s="32" t="str">
        <x:v>无量记录</x:v>
      </x:c>
      <x:c r="I63" s="12"/>
      <x:c r="J63" s="7" t="str">
        <x:v>错拼不主动铺设；以实际查询表现决定</x:v>
      </x:c>
      <x:c r="K63" s="7" t="str">
        <x:v>鼠标垫关键词.xlsx / Sheet1 行59
DE_Top_search_terms_Simple_Week_2025_11_15.xlsx / DE_Top_search_terms_Simple_Week 行60</x:v>
      </x:c>
    </x:row>
    <x:row r="64" ht="30" customHeight="1">
      <x:c r="A64" s="7" t="str">
        <x:v>K059</x:v>
      </x:c>
      <x:c r="B64" s="7" t="str">
        <x:v>schreibtischunterlage mauspad</x:v>
      </x:c>
      <x:c r="C64" s="7" t="str">
        <x:v>品类或桌面场景</x:v>
      </x:c>
      <x:c r="D64" s="7" t="str">
        <x:v>候选</x:v>
      </x:c>
      <x:c r="E64" s="7" t="str">
        <x:v>否</x:v>
      </x:c>
      <x:c r="F64" s="31" t="n">
        <x:v>389391</x:v>
      </x:c>
      <x:c r="G64" s="31"/>
      <x:c r="H64" s="32" t="str">
        <x:v>无量记录</x:v>
      </x:c>
      <x:c r="I64" s="12"/>
      <x:c r="J64" s="7" t="str">
        <x:v>品类/桌面使用相关；宽泛桌垫词需小范围测试</x:v>
      </x:c>
      <x:c r="K64" s="7" t="str">
        <x:v>鼠标垫关键词.xlsx / Sheet1 行60
DE_Top_search_terms_Simple_Week_2025_11_15.xlsx / DE_Top_search_terms_Simple_Week 行61</x:v>
      </x:c>
    </x:row>
    <x:row r="65" ht="30" customHeight="1">
      <x:c r="A65" s="7" t="str">
        <x:v>K060</x:v>
      </x:c>
      <x:c r="B65" s="7" t="str">
        <x:v>xl gaming mauspad</x:v>
      </x:c>
      <x:c r="C65" s="7" t="str">
        <x:v>大尺寸</x:v>
      </x:c>
      <x:c r="D65" s="7" t="str">
        <x:v>候选</x:v>
      </x:c>
      <x:c r="E65" s="7" t="str">
        <x:v>否</x:v>
      </x:c>
      <x:c r="F65" s="31" t="n">
        <x:v>389391</x:v>
      </x:c>
      <x:c r="G65" s="31"/>
      <x:c r="H65" s="32" t="str">
        <x:v>无量记录</x:v>
      </x:c>
      <x:c r="I65" s="12"/>
      <x:c r="J65" s="7" t="str">
        <x:v>大桌垫相关；超大规格用词不替代明确尺寸</x:v>
      </x:c>
      <x:c r="K65" s="7" t="str">
        <x:v>鼠标垫关键词.xlsx / Sheet1 行61
DE_Top_search_terms_Simple_Week_2025_11_15.xlsx / DE_Top_search_terms_Simple_Week 行62</x:v>
      </x:c>
    </x:row>
    <x:row r="66" ht="30" customHeight="1">
      <x:c r="A66" s="7" t="str">
        <x:v>K061</x:v>
      </x:c>
      <x:c r="B66" s="7" t="str">
        <x:v>großes mousepad</x:v>
      </x:c>
      <x:c r="C66" s="7" t="str">
        <x:v>大尺寸</x:v>
      </x:c>
      <x:c r="D66" s="7" t="str">
        <x:v>候选</x:v>
      </x:c>
      <x:c r="E66" s="7" t="str">
        <x:v>否</x:v>
      </x:c>
      <x:c r="F66" s="31" t="n">
        <x:v>424467</x:v>
      </x:c>
      <x:c r="G66" s="31"/>
      <x:c r="H66" s="32" t="str">
        <x:v>无量记录</x:v>
      </x:c>
      <x:c r="I66" s="12"/>
      <x:c r="J66" s="7" t="str">
        <x:v>大桌垫相关；超大规格用词不替代明确尺寸</x:v>
      </x:c>
      <x:c r="K66" s="7" t="str">
        <x:v>鼠标垫关键词.xlsx / Sheet1 行62
DE_Top_search_terms_Simple_Week_2025_11_15.xlsx / DE_Top_search_terms_Simple_Week 行63</x:v>
      </x:c>
    </x:row>
    <x:row r="67" ht="30" customHeight="1">
      <x:c r="A67" s="7" t="str">
        <x:v>K062</x:v>
      </x:c>
      <x:c r="B67" s="7" t="str">
        <x:v>mauspad gross</x:v>
      </x:c>
      <x:c r="C67" s="7" t="str">
        <x:v>大尺寸</x:v>
      </x:c>
      <x:c r="D67" s="7" t="str">
        <x:v>候选</x:v>
      </x:c>
      <x:c r="E67" s="7" t="str">
        <x:v>否</x:v>
      </x:c>
      <x:c r="F67" s="31" t="n">
        <x:v>424467</x:v>
      </x:c>
      <x:c r="G67" s="31"/>
      <x:c r="H67" s="32" t="str">
        <x:v>无量记录</x:v>
      </x:c>
      <x:c r="I67" s="12"/>
      <x:c r="J67" s="7" t="str">
        <x:v>大桌垫相关；超大规格用词不替代明确尺寸</x:v>
      </x:c>
      <x:c r="K67" s="7" t="str">
        <x:v>鼠标垫关键词.xlsx / Sheet1 行63
DE_Top_search_terms_Simple_Week_2025_11_15.xlsx / DE_Top_search_terms_Simple_Week 行64</x:v>
      </x:c>
    </x:row>
    <x:row r="68" ht="30" customHeight="1">
      <x:c r="A68" s="7" t="str">
        <x:v>K063</x:v>
      </x:c>
      <x:c r="B68" s="7" t="str">
        <x:v>pc matte</x:v>
      </x:c>
      <x:c r="C68" s="7" t="str">
        <x:v>相关性待核实</x:v>
      </x:c>
      <x:c r="D68" s="7" t="str">
        <x:v>保留待核验</x:v>
      </x:c>
      <x:c r="E68" s="7" t="str">
        <x:v>否</x:v>
      </x:c>
      <x:c r="F68" s="31" t="n">
        <x:v>424467</x:v>
      </x:c>
      <x:c r="G68" s="31"/>
      <x:c r="H68" s="32" t="str">
        <x:v>无量记录</x:v>
      </x:c>
      <x:c r="I68" s="12"/>
      <x:c r="J68" s="7" t="str">
        <x:v>含义或相关性待人工复核</x:v>
      </x:c>
      <x:c r="K68" s="7" t="str">
        <x:v>鼠标垫关键词.xlsx / Sheet1 行64
DE_Top_search_terms_Simple_Week_2025_11_15.xlsx / DE_Top_search_terms_Simple_Week 行65</x:v>
      </x:c>
    </x:row>
    <x:row r="69" ht="30" customHeight="1">
      <x:c r="A69" s="7" t="str">
        <x:v>K064</x:v>
      </x:c>
      <x:c r="B69" s="7" t="str">
        <x:v>xxl mousepad 900x400</x:v>
      </x:c>
      <x:c r="C69" s="7" t="str">
        <x:v>900×400精确尺寸</x:v>
      </x:c>
      <x:c r="D69" s="7" t="str">
        <x:v>候选</x:v>
      </x:c>
      <x:c r="E69" s="7" t="str">
        <x:v>否</x:v>
      </x:c>
      <x:c r="F69" s="31" t="n">
        <x:v>424467</x:v>
      </x:c>
      <x:c r="G69" s="31"/>
      <x:c r="H69" s="32" t="str">
        <x:v>无量记录</x:v>
      </x:c>
      <x:c r="I69" s="12"/>
      <x:c r="J69" s="7" t="str">
        <x:v>与本轮实际尺寸一致</x:v>
      </x:c>
      <x:c r="K69" s="7" t="str">
        <x:v>鼠标垫关键词.xlsx / Sheet1 行65
DE_Top_search_terms_Simple_Week_2025_11_15.xlsx / DE_Top_search_terms_Simple_Week 行66</x:v>
      </x:c>
    </x:row>
    <x:row r="70" ht="30" customHeight="1">
      <x:c r="A70" s="7" t="str">
        <x:v>K065</x:v>
      </x:c>
      <x:c r="B70" s="7" t="str">
        <x:v>logitech mauspad xxl</x:v>
      </x:c>
      <x:c r="C70" s="7" t="str">
        <x:v>竞品品牌</x:v>
      </x:c>
      <x:c r="D70" s="7" t="str">
        <x:v>保留待核验</x:v>
      </x:c>
      <x:c r="E70" s="7" t="str">
        <x:v>否</x:v>
      </x:c>
      <x:c r="F70" s="31" t="n">
        <x:v>481788</x:v>
      </x:c>
      <x:c r="G70" s="31"/>
      <x:c r="H70" s="32" t="str">
        <x:v>无量记录</x:v>
      </x:c>
      <x:c r="I70" s="12"/>
      <x:c r="J70" s="7" t="str">
        <x:v>首轮不验证竞品品牌意图；可另设专项，不能当自有品牌</x:v>
      </x:c>
      <x:c r="K70" s="7" t="str">
        <x:v>鼠标垫关键词.xlsx / Sheet1 行66
DE_Top_search_terms_Simple_Week_2025_11_15.xlsx / DE_Top_search_terms_Simple_Week 行67
鼠标垫推广跟进表格-2025.08.16.xlsx / 关键词词库-90 40 行144</x:v>
      </x:c>
    </x:row>
    <x:row r="71" ht="30" customHeight="1">
      <x:c r="A71" s="7" t="str">
        <x:v>K066</x:v>
      </x:c>
      <x:c r="B71" s="7" t="str">
        <x:v>schreibtischunterlage 90x40</x:v>
      </x:c>
      <x:c r="C71" s="7" t="str">
        <x:v>900×400精确尺寸</x:v>
      </x:c>
      <x:c r="D71" s="7" t="str">
        <x:v>候选</x:v>
      </x:c>
      <x:c r="E71" s="7" t="str">
        <x:v>否</x:v>
      </x:c>
      <x:c r="F71" s="31" t="n">
        <x:v>498504</x:v>
      </x:c>
      <x:c r="G71" s="31"/>
      <x:c r="H71" s="32" t="str">
        <x:v>无量记录</x:v>
      </x:c>
      <x:c r="I71" s="12"/>
      <x:c r="J71" s="7" t="str">
        <x:v>与本轮实际尺寸一致</x:v>
      </x:c>
      <x:c r="K71" s="7" t="str">
        <x:v>鼠标垫关键词.xlsx / Sheet1 行67
DE_Top_search_terms_Simple_Week_2025_11_15.xlsx / DE_Top_search_terms_Simple_Week 行68
鼠标垫推广跟进表格-2025.08.16.xlsx / 关键词词库-90 40 行62</x:v>
      </x:c>
    </x:row>
    <x:row r="72" ht="30" customHeight="1">
      <x:c r="A72" s="7" t="str">
        <x:v>K067</x:v>
      </x:c>
      <x:c r="B72" s="7" t="str">
        <x:v>maispad</x:v>
      </x:c>
      <x:c r="C72" s="7" t="str">
        <x:v>错拼变体</x:v>
      </x:c>
      <x:c r="D72" s="7" t="str">
        <x:v>保留待核验</x:v>
      </x:c>
      <x:c r="E72" s="7" t="str">
        <x:v>否</x:v>
      </x:c>
      <x:c r="F72" s="31" t="n">
        <x:v>516008</x:v>
      </x:c>
      <x:c r="G72" s="31"/>
      <x:c r="H72" s="32" t="str">
        <x:v>无量记录</x:v>
      </x:c>
      <x:c r="I72" s="12"/>
      <x:c r="J72" s="7" t="str">
        <x:v>错拼不主动铺设；以实际查询表现决定</x:v>
      </x:c>
      <x:c r="K72" s="7" t="str">
        <x:v>鼠标垫关键词.xlsx / Sheet1 行68
DE_Top_search_terms_Simple_Week_2025_11_15.xlsx / DE_Top_search_terms_Simple_Week 行69</x:v>
      </x:c>
    </x:row>
    <x:row r="73" ht="30" customHeight="1">
      <x:c r="A73" s="7" t="str">
        <x:v>K068</x:v>
      </x:c>
      <x:c r="B73" s="7" t="str">
        <x:v>mousepad xxxl</x:v>
      </x:c>
      <x:c r="C73" s="7" t="str">
        <x:v>大尺寸</x:v>
      </x:c>
      <x:c r="D73" s="7" t="str">
        <x:v>候选</x:v>
      </x:c>
      <x:c r="E73" s="7" t="str">
        <x:v>否</x:v>
      </x:c>
      <x:c r="F73" s="31" t="n">
        <x:v>534910</x:v>
      </x:c>
      <x:c r="G73" s="31"/>
      <x:c r="H73" s="32" t="str">
        <x:v>无量记录</x:v>
      </x:c>
      <x:c r="I73" s="12"/>
      <x:c r="J73" s="7" t="str">
        <x:v>大桌垫相关；超大规格用词不替代明确尺寸</x:v>
      </x:c>
      <x:c r="K73" s="7" t="str">
        <x:v>鼠标垫关键词.xlsx / Sheet1 行69
DE_Top_search_terms_Simple_Week_2025_11_15.xlsx / DE_Top_search_terms_Simple_Week 行70</x:v>
      </x:c>
    </x:row>
    <x:row r="74" ht="40" customHeight="1">
      <x:c r="A74" s="7" t="str">
        <x:v>K069</x:v>
      </x:c>
      <x:c r="B74" s="7" t="str">
        <x:v>titanwolf xxl speed gaming mauspad 900x400</x:v>
      </x:c>
      <x:c r="C74" s="7" t="str">
        <x:v>竞品品牌</x:v>
      </x:c>
      <x:c r="D74" s="7" t="str">
        <x:v>保留待核验</x:v>
      </x:c>
      <x:c r="E74" s="7" t="str">
        <x:v>否</x:v>
      </x:c>
      <x:c r="F74" s="31" t="n">
        <x:v>534910</x:v>
      </x:c>
      <x:c r="G74" s="31"/>
      <x:c r="H74" s="32" t="str">
        <x:v>无量记录</x:v>
      </x:c>
      <x:c r="I74" s="12"/>
      <x:c r="J74" s="7" t="str">
        <x:v>首轮不验证竞品品牌意图；可另设专项，不能当自有品牌</x:v>
      </x:c>
      <x:c r="K74" s="7" t="str">
        <x:v>鼠标垫关键词.xlsx / Sheet1 行70
DE_Top_search_terms_Simple_Week_2025_11_15.xlsx / DE_Top_search_terms_Simple_Week 行71</x:v>
      </x:c>
    </x:row>
    <x:row r="75" ht="30" customHeight="1">
      <x:c r="A75" s="7" t="str">
        <x:v>K070</x:v>
      </x:c>
      <x:c r="B75" s="7" t="str">
        <x:v>maus pat</x:v>
      </x:c>
      <x:c r="C75" s="7" t="str">
        <x:v>错拼变体</x:v>
      </x:c>
      <x:c r="D75" s="7" t="str">
        <x:v>保留待核验</x:v>
      </x:c>
      <x:c r="E75" s="7" t="str">
        <x:v>否</x:v>
      </x:c>
      <x:c r="F75" s="31" t="n">
        <x:v>555047</x:v>
      </x:c>
      <x:c r="G75" s="31"/>
      <x:c r="H75" s="32" t="str">
        <x:v>无量记录</x:v>
      </x:c>
      <x:c r="I75" s="12"/>
      <x:c r="J75" s="7" t="str">
        <x:v>错拼不主动铺设；以实际查询表现决定</x:v>
      </x:c>
      <x:c r="K75" s="7" t="str">
        <x:v>鼠标垫关键词.xlsx / Sheet1 行71
DE_Top_search_terms_Simple_Week_2025_11_15.xlsx / DE_Top_search_terms_Simple_Week 行72</x:v>
      </x:c>
    </x:row>
    <x:row r="76" ht="30" customHeight="1">
      <x:c r="A76" s="7" t="str">
        <x:v>K071</x:v>
      </x:c>
      <x:c r="B76" s="7" t="str">
        <x:v>mauspad xxl schwarz</x:v>
      </x:c>
      <x:c r="C76" s="7" t="str">
        <x:v>大尺寸</x:v>
      </x:c>
      <x:c r="D76" s="7" t="str">
        <x:v>候选</x:v>
      </x:c>
      <x:c r="E76" s="7" t="str">
        <x:v>否</x:v>
      </x:c>
      <x:c r="F76" s="31" t="n">
        <x:v>555047</x:v>
      </x:c>
      <x:c r="G76" s="31"/>
      <x:c r="H76" s="32" t="str">
        <x:v>无量记录</x:v>
      </x:c>
      <x:c r="I76" s="12"/>
      <x:c r="J76" s="7" t="str">
        <x:v>大桌垫相关；超大规格用词不替代明确尺寸</x:v>
      </x:c>
      <x:c r="K76" s="7" t="str">
        <x:v>鼠标垫关键词.xlsx / Sheet1 行72
DE_Top_search_terms_Simple_Week_2025_11_15.xlsx / DE_Top_search_terms_Simple_Week 行73</x:v>
      </x:c>
    </x:row>
    <x:row r="77" ht="30" customHeight="1">
      <x:c r="A77" s="7" t="str">
        <x:v>K072</x:v>
      </x:c>
      <x:c r="B77" s="7" t="str">
        <x:v>schwarzes mauspad</x:v>
      </x:c>
      <x:c r="C77" s="7" t="str">
        <x:v>黑灰颜色</x:v>
      </x:c>
      <x:c r="D77" s="7" t="str">
        <x:v>低优先级候选</x:v>
      </x:c>
      <x:c r="E77" s="7" t="str">
        <x:v>否</x:v>
      </x:c>
      <x:c r="F77" s="31" t="n">
        <x:v>555047</x:v>
      </x:c>
      <x:c r="G77" s="31"/>
      <x:c r="H77" s="32" t="str">
        <x:v>无量记录</x:v>
      </x:c>
      <x:c r="I77" s="12"/>
      <x:c r="J77" s="7" t="str">
        <x:v>主色相关但图案含红粉，不主张纯黑</x:v>
      </x:c>
      <x:c r="K77" s="7" t="str">
        <x:v>鼠标垫关键词.xlsx / Sheet1 行73
DE_Top_search_terms_Simple_Week_2025_11_15.xlsx / DE_Top_search_terms_Simple_Week 行74
鼠标垫推广跟进表格-2025.08.16.xlsx / 关键词词库-90 40 行169</x:v>
      </x:c>
    </x:row>
    <x:row r="78" ht="30" customHeight="1">
      <x:c r="A78" s="7" t="str">
        <x:v>K073</x:v>
      </x:c>
      <x:c r="B78" s="7" t="str">
        <x:v>titanwolf mousepad</x:v>
      </x:c>
      <x:c r="C78" s="7" t="str">
        <x:v>竞品品牌</x:v>
      </x:c>
      <x:c r="D78" s="7" t="str">
        <x:v>保留待核验</x:v>
      </x:c>
      <x:c r="E78" s="7" t="str">
        <x:v>否</x:v>
      </x:c>
      <x:c r="F78" s="31" t="n">
        <x:v>555047</x:v>
      </x:c>
      <x:c r="G78" s="31"/>
      <x:c r="H78" s="32" t="str">
        <x:v>无量记录</x:v>
      </x:c>
      <x:c r="I78" s="12"/>
      <x:c r="J78" s="7" t="str">
        <x:v>首轮不验证竞品品牌意图；可另设专项，不能当自有品牌</x:v>
      </x:c>
      <x:c r="K78" s="7" t="str">
        <x:v>鼠标垫关键词.xlsx / Sheet1 行74
DE_Top_search_terms_Simple_Week_2025_11_15.xlsx / DE_Top_search_terms_Simple_Week 行75
鼠标垫推广跟进表格-2025.08.16.xlsx / 关键词词库-90 40 行148</x:v>
      </x:c>
    </x:row>
    <x:row r="79" ht="30" customHeight="1">
      <x:c r="A79" s="7" t="str">
        <x:v>K074</x:v>
      </x:c>
      <x:c r="B79" s="7" t="str">
        <x:v>1 meter 20 mauspad</x:v>
      </x:c>
      <x:c r="C79" s="7" t="str">
        <x:v>尺寸待核实</x:v>
      </x:c>
      <x:c r="D79" s="7" t="str">
        <x:v>保留待核验</x:v>
      </x:c>
      <x:c r="E79" s="7" t="str">
        <x:v>否</x:v>
      </x:c>
      <x:c r="F79" s="31"/>
      <x:c r="G79" s="31"/>
      <x:c r="H79" s="32" t="str">
        <x:v>无量记录</x:v>
      </x:c>
      <x:c r="I79" s="12"/>
      <x:c r="J79" s="7" t="str">
        <x:v>尺寸意图不属于900版或表达需核实</x:v>
      </x:c>
      <x:c r="K79" s="7" t="str">
        <x:v>鼠标垫推广跟进表格-2025.08.16.xlsx / 2026.08.07梳理ST关键词 行2</x:v>
      </x:c>
    </x:row>
    <x:row r="80" ht="30" customHeight="1">
      <x:c r="A80" s="7" t="str">
        <x:v>K075</x:v>
      </x:c>
      <x:c r="B80" s="7" t="str">
        <x:v>1,20m mauspad</x:v>
      </x:c>
      <x:c r="C80" s="7" t="str">
        <x:v>尺寸待核实</x:v>
      </x:c>
      <x:c r="D80" s="7" t="str">
        <x:v>保留待核验</x:v>
      </x:c>
      <x:c r="E80" s="7" t="str">
        <x:v>否</x:v>
      </x:c>
      <x:c r="F80" s="31"/>
      <x:c r="G80" s="31"/>
      <x:c r="H80" s="32" t="str">
        <x:v>无量记录</x:v>
      </x:c>
      <x:c r="I80" s="12"/>
      <x:c r="J80" s="7" t="str">
        <x:v>尺寸意图不属于900版或表达需核实</x:v>
      </x:c>
      <x:c r="K80" s="7" t="str">
        <x:v>鼠标垫推广跟进表格-2025.08.16.xlsx / 2026.08.07梳理ST关键词 行3</x:v>
      </x:c>
    </x:row>
    <x:row r="81" ht="30" customHeight="1">
      <x:c r="A81" s="7" t="str">
        <x:v>K076</x:v>
      </x:c>
      <x:c r="B81" s="7" t="str">
        <x:v>1,40 x 60 mauspad</x:v>
      </x:c>
      <x:c r="C81" s="7" t="str">
        <x:v>其他尺寸</x:v>
      </x:c>
      <x:c r="D81" s="7" t="str">
        <x:v>首轮不投</x:v>
      </x:c>
      <x:c r="E81" s="7" t="str">
        <x:v>否</x:v>
      </x:c>
      <x:c r="F81" s="31"/>
      <x:c r="G81" s="31"/>
      <x:c r="H81" s="32" t="str">
        <x:v>无量记录</x:v>
      </x:c>
      <x:c r="I81" s="12"/>
      <x:c r="J81" s="7" t="str">
        <x:v>尺寸不匹配900×400 mm</x:v>
      </x:c>
      <x:c r="K81" s="7" t="str">
        <x:v>鼠标垫推广跟进表格-2025.08.16.xlsx / 2026.08.07梳理ST关键词 行4</x:v>
      </x:c>
    </x:row>
    <x:row r="82" ht="30" customHeight="1">
      <x:c r="A82" s="7" t="str">
        <x:v>K077</x:v>
      </x:c>
      <x:c r="B82" s="7" t="str">
        <x:v>1000 x 400 mauspad black japanese</x:v>
      </x:c>
      <x:c r="C82" s="7" t="str">
        <x:v>其他尺寸</x:v>
      </x:c>
      <x:c r="D82" s="7" t="str">
        <x:v>首轮不投</x:v>
      </x:c>
      <x:c r="E82" s="7" t="str">
        <x:v>否</x:v>
      </x:c>
      <x:c r="F82" s="31"/>
      <x:c r="G82" s="31"/>
      <x:c r="H82" s="32" t="str">
        <x:v>无量记录</x:v>
      </x:c>
      <x:c r="I82" s="12"/>
      <x:c r="J82" s="7" t="str">
        <x:v>尺寸不匹配900×400 mm</x:v>
      </x:c>
      <x:c r="K82" s="7" t="str">
        <x:v>鼠标垫推广跟进表格-2025.08.16.xlsx / 2026.08.07梳理ST关键词 行6</x:v>
      </x:c>
    </x:row>
    <x:row r="83" ht="30" customHeight="1">
      <x:c r="A83" s="7" t="str">
        <x:v>K078</x:v>
      </x:c>
      <x:c r="B83" s="7" t="str">
        <x:v>1000x500x4 mauspad</x:v>
      </x:c>
      <x:c r="C83" s="7" t="str">
        <x:v>其他尺寸</x:v>
      </x:c>
      <x:c r="D83" s="7" t="str">
        <x:v>首轮不投</x:v>
      </x:c>
      <x:c r="E83" s="7" t="str">
        <x:v>否</x:v>
      </x:c>
      <x:c r="F83" s="31"/>
      <x:c r="G83" s="31"/>
      <x:c r="H83" s="32" t="str">
        <x:v>无量记录</x:v>
      </x:c>
      <x:c r="I83" s="12"/>
      <x:c r="J83" s="7" t="str">
        <x:v>尺寸不匹配900×400 mm</x:v>
      </x:c>
      <x:c r="K83" s="7" t="str">
        <x:v>鼠标垫推广跟进表格-2025.08.16.xlsx / 2026.08.07梳理ST关键词 行7</x:v>
      </x:c>
    </x:row>
    <x:row r="84" ht="30" customHeight="1">
      <x:c r="A84" s="7" t="str">
        <x:v>K079</x:v>
      </x:c>
      <x:c r="B84" s="7" t="str">
        <x:v>100x50 mauspad</x:v>
      </x:c>
      <x:c r="C84" s="7" t="str">
        <x:v>其他尺寸</x:v>
      </x:c>
      <x:c r="D84" s="7" t="str">
        <x:v>首轮不投</x:v>
      </x:c>
      <x:c r="E84" s="7" t="str">
        <x:v>否</x:v>
      </x:c>
      <x:c r="F84" s="31"/>
      <x:c r="G84" s="31"/>
      <x:c r="H84" s="32" t="str">
        <x:v>无量记录</x:v>
      </x:c>
      <x:c r="I84" s="12"/>
      <x:c r="J84" s="7" t="str">
        <x:v>尺寸不匹配900×400 mm</x:v>
      </x:c>
      <x:c r="K84" s="7" t="str">
        <x:v>鼠标垫推广跟进表格-2025.08.16.xlsx / 2026.08.07梳理ST关键词 行8</x:v>
      </x:c>
    </x:row>
    <x:row r="85" ht="30" customHeight="1">
      <x:c r="A85" s="7" t="str">
        <x:v>K080</x:v>
      </x:c>
      <x:c r="B85" s="7" t="str">
        <x:v>100x500 mauspad</x:v>
      </x:c>
      <x:c r="C85" s="7" t="str">
        <x:v>其他尺寸</x:v>
      </x:c>
      <x:c r="D85" s="7" t="str">
        <x:v>首轮不投</x:v>
      </x:c>
      <x:c r="E85" s="7" t="str">
        <x:v>否</x:v>
      </x:c>
      <x:c r="F85" s="31"/>
      <x:c r="G85" s="31"/>
      <x:c r="H85" s="32" t="str">
        <x:v>无量记录</x:v>
      </x:c>
      <x:c r="I85" s="12"/>
      <x:c r="J85" s="7" t="str">
        <x:v>尺寸不匹配900×400 mm</x:v>
      </x:c>
      <x:c r="K85" s="7" t="str">
        <x:v>鼠标垫推广跟进表格-2025.08.16.xlsx / 2026.08.07梳理ST关键词 行9</x:v>
      </x:c>
    </x:row>
    <x:row r="86" ht="30" customHeight="1">
      <x:c r="A86" s="7" t="str">
        <x:v>K081</x:v>
      </x:c>
      <x:c r="B86" s="7" t="str">
        <x:v>100× 40cm mauspad japan</x:v>
      </x:c>
      <x:c r="C86" s="7" t="str">
        <x:v>其他尺寸</x:v>
      </x:c>
      <x:c r="D86" s="7" t="str">
        <x:v>首轮不投</x:v>
      </x:c>
      <x:c r="E86" s="7" t="str">
        <x:v>否</x:v>
      </x:c>
      <x:c r="F86" s="31"/>
      <x:c r="G86" s="31"/>
      <x:c r="H86" s="32" t="str">
        <x:v>无量记录</x:v>
      </x:c>
      <x:c r="I86" s="12"/>
      <x:c r="J86" s="7" t="str">
        <x:v>尺寸不匹配900×400 mm</x:v>
      </x:c>
      <x:c r="K86" s="7" t="str">
        <x:v>鼠标垫推广跟进表格-2025.08.16.xlsx / 2026.08.07梳理ST关键词 行5</x:v>
      </x:c>
    </x:row>
    <x:row r="87" ht="30" customHeight="1">
      <x:c r="A87" s="7" t="str">
        <x:v>K082</x:v>
      </x:c>
      <x:c r="B87" s="7" t="str">
        <x:v>110x70 gaming mauspad</x:v>
      </x:c>
      <x:c r="C87" s="7" t="str">
        <x:v>其他尺寸</x:v>
      </x:c>
      <x:c r="D87" s="7" t="str">
        <x:v>首轮不投</x:v>
      </x:c>
      <x:c r="E87" s="7" t="str">
        <x:v>否</x:v>
      </x:c>
      <x:c r="F87" s="31"/>
      <x:c r="G87" s="31"/>
      <x:c r="H87" s="32" t="str">
        <x:v>无量记录</x:v>
      </x:c>
      <x:c r="I87" s="12"/>
      <x:c r="J87" s="7" t="str">
        <x:v>尺寸不匹配900×400 mm</x:v>
      </x:c>
      <x:c r="K87" s="7" t="str">
        <x:v>鼠标垫推广跟进表格-2025.08.16.xlsx / 2026.08.07梳理ST关键词 行10</x:v>
      </x:c>
    </x:row>
    <x:row r="88" ht="30" customHeight="1">
      <x:c r="A88" s="7" t="str">
        <x:v>K083</x:v>
      </x:c>
      <x:c r="B88" s="7" t="str">
        <x:v>120 x 60 cm mauspad anime</x:v>
      </x:c>
      <x:c r="C88" s="7" t="str">
        <x:v>1200版尺寸</x:v>
      </x:c>
      <x:c r="D88" s="7" t="str">
        <x:v>其他尺寸单独处理</x:v>
      </x:c>
      <x:c r="E88" s="7" t="str">
        <x:v>否</x:v>
      </x:c>
      <x:c r="F88" s="31"/>
      <x:c r="G88" s="31"/>
      <x:c r="H88" s="32" t="str">
        <x:v>无量记录</x:v>
      </x:c>
      <x:c r="I88" s="12"/>
      <x:c r="J88" s="7" t="str">
        <x:v>属于1200版，不进入本轮900版</x:v>
      </x:c>
      <x:c r="K88" s="7" t="str">
        <x:v>鼠标垫推广跟进表格-2025.08.16.xlsx / 2026.08.07梳理ST关键词 行11</x:v>
      </x:c>
    </x:row>
    <x:row r="89" ht="30" customHeight="1">
      <x:c r="A89" s="7" t="str">
        <x:v>K084</x:v>
      </x:c>
      <x:c r="B89" s="7" t="str">
        <x:v>1200 900 mauspad</x:v>
      </x:c>
      <x:c r="C89" s="7" t="str">
        <x:v>尺寸待核实</x:v>
      </x:c>
      <x:c r="D89" s="7" t="str">
        <x:v>保留待核验</x:v>
      </x:c>
      <x:c r="E89" s="7" t="str">
        <x:v>否</x:v>
      </x:c>
      <x:c r="F89" s="31"/>
      <x:c r="G89" s="31"/>
      <x:c r="H89" s="32" t="str">
        <x:v>无量记录</x:v>
      </x:c>
      <x:c r="I89" s="12"/>
      <x:c r="J89" s="7" t="str">
        <x:v>尺寸意图不属于900版或表达需核实</x:v>
      </x:c>
      <x:c r="K89" s="7" t="str">
        <x:v>鼠标垫推广跟进表格-2025.08.16.xlsx / 2026.08.07梳理ST关键词 行12</x:v>
      </x:c>
    </x:row>
    <x:row r="90" ht="30" customHeight="1">
      <x:c r="A90" s="7" t="str">
        <x:v>K085</x:v>
      </x:c>
      <x:c r="B90" s="7" t="str">
        <x:v>1200 mauspad</x:v>
      </x:c>
      <x:c r="C90" s="7" t="str">
        <x:v>尺寸待核实</x:v>
      </x:c>
      <x:c r="D90" s="7" t="str">
        <x:v>保留待核验</x:v>
      </x:c>
      <x:c r="E90" s="7" t="str">
        <x:v>否</x:v>
      </x:c>
      <x:c r="F90" s="31"/>
      <x:c r="G90" s="31"/>
      <x:c r="H90" s="32" t="str">
        <x:v>无量记录</x:v>
      </x:c>
      <x:c r="I90" s="12"/>
      <x:c r="J90" s="7" t="str">
        <x:v>尺寸意图不属于900版或表达需核实</x:v>
      </x:c>
      <x:c r="K90" s="7" t="str">
        <x:v>鼠标垫推广跟进表格-2025.08.16.xlsx / 2026.08.07梳理ST关键词 行13</x:v>
      </x:c>
    </x:row>
    <x:row r="91" ht="30" customHeight="1">
      <x:c r="A91" s="7" t="str">
        <x:v>K086</x:v>
      </x:c>
      <x:c r="B91" s="7" t="str">
        <x:v>1200 mauspad anime</x:v>
      </x:c>
      <x:c r="C91" s="7" t="str">
        <x:v>尺寸待核实</x:v>
      </x:c>
      <x:c r="D91" s="7" t="str">
        <x:v>保留待核验</x:v>
      </x:c>
      <x:c r="E91" s="7" t="str">
        <x:v>否</x:v>
      </x:c>
      <x:c r="F91" s="31"/>
      <x:c r="G91" s="31"/>
      <x:c r="H91" s="32" t="str">
        <x:v>无量记录</x:v>
      </x:c>
      <x:c r="I91" s="12"/>
      <x:c r="J91" s="7" t="str">
        <x:v>尺寸意图不属于900版或表达需核实</x:v>
      </x:c>
      <x:c r="K91" s="7" t="str">
        <x:v>鼠标垫推广跟进表格-2025.08.16.xlsx / 2026.08.07梳理ST关键词 行14</x:v>
      </x:c>
    </x:row>
    <x:row r="92" ht="30" customHeight="1">
      <x:c r="A92" s="7" t="str">
        <x:v>K087</x:v>
      </x:c>
      <x:c r="B92" s="7" t="str">
        <x:v>1200 x 600 mm mauspad</x:v>
      </x:c>
      <x:c r="C92" s="7" t="str">
        <x:v>1200版尺寸</x:v>
      </x:c>
      <x:c r="D92" s="7" t="str">
        <x:v>其他尺寸单独处理</x:v>
      </x:c>
      <x:c r="E92" s="7" t="str">
        <x:v>否</x:v>
      </x:c>
      <x:c r="F92" s="31"/>
      <x:c r="G92" s="31"/>
      <x:c r="H92" s="32" t="str">
        <x:v>无量记录</x:v>
      </x:c>
      <x:c r="I92" s="12"/>
      <x:c r="J92" s="7" t="str">
        <x:v>属于1200版，不进入本轮900版</x:v>
      </x:c>
      <x:c r="K92" s="7" t="str">
        <x:v>鼠标垫推广跟进表格-2025.08.16.xlsx / 2026.08.07梳理ST关键词 行15</x:v>
      </x:c>
    </x:row>
    <x:row r="93" ht="30" customHeight="1">
      <x:c r="A93" s="7" t="str">
        <x:v>K088</x:v>
      </x:c>
      <x:c r="B93" s="7" t="str">
        <x:v>1200/600 mauspad</x:v>
      </x:c>
      <x:c r="C93" s="7" t="str">
        <x:v>1200版尺寸</x:v>
      </x:c>
      <x:c r="D93" s="7" t="str">
        <x:v>其他尺寸单独处理</x:v>
      </x:c>
      <x:c r="E93" s="7" t="str">
        <x:v>否</x:v>
      </x:c>
      <x:c r="F93" s="31"/>
      <x:c r="G93" s="31"/>
      <x:c r="H93" s="32" t="str">
        <x:v>无量记录</x:v>
      </x:c>
      <x:c r="I93" s="12"/>
      <x:c r="J93" s="7" t="str">
        <x:v>属于1200版，不进入本轮900版</x:v>
      </x:c>
      <x:c r="K93" s="7" t="str">
        <x:v>鼠标垫推广跟进表格-2025.08.16.xlsx / 2026.08.07梳理ST关键词 行16</x:v>
      </x:c>
    </x:row>
    <x:row r="94" ht="30" customHeight="1">
      <x:c r="A94" s="7" t="str">
        <x:v>K089</x:v>
      </x:c>
      <x:c r="B94" s="7" t="str">
        <x:v>1200mm x 600mm mousepad anime</x:v>
      </x:c>
      <x:c r="C94" s="7" t="str">
        <x:v>尺寸待核实</x:v>
      </x:c>
      <x:c r="D94" s="7" t="str">
        <x:v>保留待核验</x:v>
      </x:c>
      <x:c r="E94" s="7" t="str">
        <x:v>否</x:v>
      </x:c>
      <x:c r="F94" s="31"/>
      <x:c r="G94" s="31"/>
      <x:c r="H94" s="32" t="str">
        <x:v>无量记录</x:v>
      </x:c>
      <x:c r="I94" s="12"/>
      <x:c r="J94" s="7" t="str">
        <x:v>尺寸意图不属于900版或表达需核实</x:v>
      </x:c>
      <x:c r="K94" s="7" t="str">
        <x:v>鼠标垫推广跟进表格-2025.08.16.xlsx / 2026.08.07梳理ST关键词 行17</x:v>
      </x:c>
    </x:row>
    <x:row r="95" ht="30" customHeight="1">
      <x:c r="A95" s="7" t="str">
        <x:v>K090</x:v>
      </x:c>
      <x:c r="B95" s="7" t="str">
        <x:v>1200x600 mauspad</x:v>
      </x:c>
      <x:c r="C95" s="7" t="str">
        <x:v>1200版尺寸</x:v>
      </x:c>
      <x:c r="D95" s="7" t="str">
        <x:v>其他尺寸单独处理</x:v>
      </x:c>
      <x:c r="E95" s="7" t="str">
        <x:v>否</x:v>
      </x:c>
      <x:c r="F95" s="31"/>
      <x:c r="G95" s="31"/>
      <x:c r="H95" s="32" t="str">
        <x:v>无量记录</x:v>
      </x:c>
      <x:c r="I95" s="12"/>
      <x:c r="J95" s="7" t="str">
        <x:v>属于1200版，不进入本轮900版</x:v>
      </x:c>
      <x:c r="K95" s="7" t="str">
        <x:v>鼠标垫推广跟进表格-2025.08.16.xlsx / 2026.08.07梳理ST关键词 行18</x:v>
      </x:c>
    </x:row>
    <x:row r="96" ht="30" customHeight="1">
      <x:c r="A96" s="7" t="str">
        <x:v>K091</x:v>
      </x:c>
      <x:c r="B96" s="7" t="str">
        <x:v>1200x600 mm mauspad schwarz grau</x:v>
      </x:c>
      <x:c r="C96" s="7" t="str">
        <x:v>1200版尺寸</x:v>
      </x:c>
      <x:c r="D96" s="7" t="str">
        <x:v>其他尺寸单独处理</x:v>
      </x:c>
      <x:c r="E96" s="7" t="str">
        <x:v>否</x:v>
      </x:c>
      <x:c r="F96" s="31"/>
      <x:c r="G96" s="31"/>
      <x:c r="H96" s="32" t="str">
        <x:v>无量记录</x:v>
      </x:c>
      <x:c r="I96" s="12"/>
      <x:c r="J96" s="7" t="str">
        <x:v>属于1200版，不进入本轮900版</x:v>
      </x:c>
      <x:c r="K96" s="7" t="str">
        <x:v>鼠标垫推广跟进表格-2025.08.16.xlsx / 2026.08.07梳理ST关键词 行19</x:v>
      </x:c>
    </x:row>
    <x:row r="97" ht="30" customHeight="1">
      <x:c r="A97" s="7" t="str">
        <x:v>K092</x:v>
      </x:c>
      <x:c r="B97" s="7" t="str">
        <x:v>1200x600 mousepad</x:v>
      </x:c>
      <x:c r="C97" s="7" t="str">
        <x:v>1200版尺寸</x:v>
      </x:c>
      <x:c r="D97" s="7" t="str">
        <x:v>其他尺寸单独处理</x:v>
      </x:c>
      <x:c r="E97" s="7" t="str">
        <x:v>否</x:v>
      </x:c>
      <x:c r="F97" s="31"/>
      <x:c r="G97" s="31"/>
      <x:c r="H97" s="32" t="str">
        <x:v>无量记录</x:v>
      </x:c>
      <x:c r="I97" s="12"/>
      <x:c r="J97" s="7" t="str">
        <x:v>属于1200版，不进入本轮900版</x:v>
      </x:c>
      <x:c r="K97" s="7" t="str">
        <x:v>鼠标垫推广跟进表格-2025.08.16.xlsx / 2026.08.07梳理ST关键词 行20</x:v>
      </x:c>
    </x:row>
    <x:row r="98" ht="30" customHeight="1">
      <x:c r="A98" s="7" t="str">
        <x:v>K093</x:v>
      </x:c>
      <x:c r="B98" s="7" t="str">
        <x:v>1200x600mm mauspad</x:v>
      </x:c>
      <x:c r="C98" s="7" t="str">
        <x:v>1200版尺寸</x:v>
      </x:c>
      <x:c r="D98" s="7" t="str">
        <x:v>其他尺寸单独处理</x:v>
      </x:c>
      <x:c r="E98" s="7" t="str">
        <x:v>否</x:v>
      </x:c>
      <x:c r="F98" s="31"/>
      <x:c r="G98" s="31"/>
      <x:c r="H98" s="32" t="str">
        <x:v>无量记录</x:v>
      </x:c>
      <x:c r="I98" s="12"/>
      <x:c r="J98" s="7" t="str">
        <x:v>属于1200版，不进入本轮900版</x:v>
      </x:c>
      <x:c r="K98" s="7" t="str">
        <x:v>鼠标垫推广跟进表格-2025.08.16.xlsx / 2026.08.07梳理ST关键词 行21</x:v>
      </x:c>
    </x:row>
    <x:row r="99" ht="30" customHeight="1">
      <x:c r="A99" s="7" t="str">
        <x:v>K094</x:v>
      </x:c>
      <x:c r="B99" s="7" t="str">
        <x:v>1200x600mm mousepad</x:v>
      </x:c>
      <x:c r="C99" s="7" t="str">
        <x:v>1200版尺寸</x:v>
      </x:c>
      <x:c r="D99" s="7" t="str">
        <x:v>其他尺寸单独处理</x:v>
      </x:c>
      <x:c r="E99" s="7" t="str">
        <x:v>否</x:v>
      </x:c>
      <x:c r="F99" s="31"/>
      <x:c r="G99" s="31"/>
      <x:c r="H99" s="32" t="str">
        <x:v>无量记录</x:v>
      </x:c>
      <x:c r="I99" s="12"/>
      <x:c r="J99" s="7" t="str">
        <x:v>属于1200版，不进入本轮900版</x:v>
      </x:c>
      <x:c r="K99" s="7" t="str">
        <x:v>鼠标垫推广跟进表格-2025.08.16.xlsx / 2026.08.07梳理ST关键词 行22</x:v>
      </x:c>
    </x:row>
    <x:row r="100" ht="30" customHeight="1">
      <x:c r="A100" s="7" t="str">
        <x:v>K095</x:v>
      </x:c>
      <x:c r="B100" s="7" t="str">
        <x:v>1200x600mm mousepad white</x:v>
      </x:c>
      <x:c r="C100" s="7" t="str">
        <x:v>其他颜色</x:v>
      </x:c>
      <x:c r="D100" s="7" t="str">
        <x:v>首轮不投</x:v>
      </x:c>
      <x:c r="E100" s="7" t="str">
        <x:v>否</x:v>
      </x:c>
      <x:c r="F100" s="31"/>
      <x:c r="G100" s="31"/>
      <x:c r="H100" s="32" t="str">
        <x:v>无量记录</x:v>
      </x:c>
      <x:c r="I100" s="12"/>
      <x:c r="J100" s="7" t="str">
        <x:v>非本品黑灰红粉主色；不把所有白色相关短词统一否定</x:v>
      </x:c>
      <x:c r="K100" s="7" t="str">
        <x:v>鼠标垫推广跟进表格-2025.08.16.xlsx / 2026.08.07梳理ST关键词 行23</x:v>
      </x:c>
    </x:row>
    <x:row r="101" ht="30" customHeight="1">
      <x:c r="A101" s="7" t="str">
        <x:v>K096</x:v>
      </x:c>
      <x:c r="B101" s="7" t="str">
        <x:v>1200x700mm gaming mauspad schwarz weiß</x:v>
      </x:c>
      <x:c r="C101" s="7" t="str">
        <x:v>其他颜色</x:v>
      </x:c>
      <x:c r="D101" s="7" t="str">
        <x:v>首轮不投</x:v>
      </x:c>
      <x:c r="E101" s="7" t="str">
        <x:v>否</x:v>
      </x:c>
      <x:c r="F101" s="31"/>
      <x:c r="G101" s="31"/>
      <x:c r="H101" s="32" t="str">
        <x:v>无量记录</x:v>
      </x:c>
      <x:c r="I101" s="12"/>
      <x:c r="J101" s="7" t="str">
        <x:v>非本品黑灰红粉主色；不把所有白色相关短词统一否定</x:v>
      </x:c>
      <x:c r="K101" s="7" t="str">
        <x:v>鼠标垫推广跟进表格-2025.08.16.xlsx / 2026.08.07梳理ST关键词 行24</x:v>
      </x:c>
    </x:row>
    <x:row r="102" ht="30" customHeight="1">
      <x:c r="A102" s="7" t="str">
        <x:v>K097</x:v>
      </x:c>
      <x:c r="B102" s="7" t="str">
        <x:v>1200x800 mauspad</x:v>
      </x:c>
      <x:c r="C102" s="7" t="str">
        <x:v>其他尺寸</x:v>
      </x:c>
      <x:c r="D102" s="7" t="str">
        <x:v>首轮不投</x:v>
      </x:c>
      <x:c r="E102" s="7" t="str">
        <x:v>否</x:v>
      </x:c>
      <x:c r="F102" s="31"/>
      <x:c r="G102" s="31"/>
      <x:c r="H102" s="32" t="str">
        <x:v>无量记录</x:v>
      </x:c>
      <x:c r="I102" s="12"/>
      <x:c r="J102" s="7" t="str">
        <x:v>尺寸不匹配900×400 mm</x:v>
      </x:c>
      <x:c r="K102" s="7" t="str">
        <x:v>鼠标垫推广跟进表格-2025.08.16.xlsx / 2026.08.07梳理ST关键词 行25</x:v>
      </x:c>
    </x:row>
    <x:row r="103" ht="30" customHeight="1">
      <x:c r="A103" s="7" t="str">
        <x:v>K098</x:v>
      </x:c>
      <x:c r="B103" s="7" t="str">
        <x:v>120cm 60 cm mouse pad</x:v>
      </x:c>
      <x:c r="C103" s="7" t="str">
        <x:v>品类或桌面场景</x:v>
      </x:c>
      <x:c r="D103" s="7" t="str">
        <x:v>候选</x:v>
      </x:c>
      <x:c r="E103" s="7" t="str">
        <x:v>否</x:v>
      </x:c>
      <x:c r="F103" s="31"/>
      <x:c r="G103" s="31"/>
      <x:c r="H103" s="32" t="str">
        <x:v>无量记录</x:v>
      </x:c>
      <x:c r="I103" s="12"/>
      <x:c r="J103" s="7" t="str">
        <x:v>品类/桌面使用相关；宽泛桌垫词需小范围测试</x:v>
      </x:c>
      <x:c r="K103" s="7" t="str">
        <x:v>鼠标垫推广跟进表格-2025.08.16.xlsx / 2026.08.07梳理ST关键词 行26</x:v>
      </x:c>
    </x:row>
    <x:row r="104" ht="30" customHeight="1">
      <x:c r="A104" s="7" t="str">
        <x:v>K099</x:v>
      </x:c>
      <x:c r="B104" s="7" t="str">
        <x:v>120x50 mauspad</x:v>
      </x:c>
      <x:c r="C104" s="7" t="str">
        <x:v>其他尺寸</x:v>
      </x:c>
      <x:c r="D104" s="7" t="str">
        <x:v>首轮不投</x:v>
      </x:c>
      <x:c r="E104" s="7" t="str">
        <x:v>否</x:v>
      </x:c>
      <x:c r="F104" s="31"/>
      <x:c r="G104" s="31"/>
      <x:c r="H104" s="32" t="str">
        <x:v>无量记录</x:v>
      </x:c>
      <x:c r="I104" s="12"/>
      <x:c r="J104" s="7" t="str">
        <x:v>尺寸不匹配900×400 mm</x:v>
      </x:c>
      <x:c r="K104" s="7" t="str">
        <x:v>鼠标垫推广跟进表格-2025.08.16.xlsx / 2026.08.07梳理ST关键词 行27</x:v>
      </x:c>
    </x:row>
    <x:row r="105" ht="30" customHeight="1">
      <x:c r="A105" s="7" t="str">
        <x:v>K100</x:v>
      </x:c>
      <x:c r="B105" s="7" t="str">
        <x:v>120x60 mauspad</x:v>
      </x:c>
      <x:c r="C105" s="7" t="str">
        <x:v>1200版尺寸</x:v>
      </x:c>
      <x:c r="D105" s="7" t="str">
        <x:v>其他尺寸单独处理</x:v>
      </x:c>
      <x:c r="E105" s="7" t="str">
        <x:v>否</x:v>
      </x:c>
      <x:c r="F105" s="31"/>
      <x:c r="G105" s="31"/>
      <x:c r="H105" s="32" t="str">
        <x:v>无量记录</x:v>
      </x:c>
      <x:c r="I105" s="12"/>
      <x:c r="J105" s="7" t="str">
        <x:v>属于1200版，不进入本轮900版</x:v>
      </x:c>
      <x:c r="K105" s="7" t="str">
        <x:v>鼠标垫推广跟进表格-2025.08.16.xlsx / 2026.08.07梳理ST关键词 行28</x:v>
      </x:c>
    </x:row>
    <x:row r="106" ht="30" customHeight="1">
      <x:c r="A106" s="7" t="str">
        <x:v>K101</x:v>
      </x:c>
      <x:c r="B106" s="7" t="str">
        <x:v>120x60 mousepad gaming</x:v>
      </x:c>
      <x:c r="C106" s="7" t="str">
        <x:v>1200版尺寸</x:v>
      </x:c>
      <x:c r="D106" s="7" t="str">
        <x:v>其他尺寸单独处理</x:v>
      </x:c>
      <x:c r="E106" s="7" t="str">
        <x:v>否</x:v>
      </x:c>
      <x:c r="F106" s="31"/>
      <x:c r="G106" s="31"/>
      <x:c r="H106" s="32" t="str">
        <x:v>无量记录</x:v>
      </x:c>
      <x:c r="I106" s="12"/>
      <x:c r="J106" s="7" t="str">
        <x:v>属于1200版，不进入本轮900版</x:v>
      </x:c>
      <x:c r="K106" s="7" t="str">
        <x:v>鼠标垫推广跟进表格-2025.08.16.xlsx / 2026.08.07梳理ST关键词 行29</x:v>
      </x:c>
    </x:row>
    <x:row r="107" ht="30" customHeight="1">
      <x:c r="A107" s="7" t="str">
        <x:v>K102</x:v>
      </x:c>
      <x:c r="B107" s="7" t="str">
        <x:v>120x60 mousepad white</x:v>
      </x:c>
      <x:c r="C107" s="7" t="str">
        <x:v>其他颜色</x:v>
      </x:c>
      <x:c r="D107" s="7" t="str">
        <x:v>首轮不投</x:v>
      </x:c>
      <x:c r="E107" s="7" t="str">
        <x:v>否</x:v>
      </x:c>
      <x:c r="F107" s="31"/>
      <x:c r="G107" s="31"/>
      <x:c r="H107" s="32" t="str">
        <x:v>无量记录</x:v>
      </x:c>
      <x:c r="I107" s="12"/>
      <x:c r="J107" s="7" t="str">
        <x:v>非本品黑灰红粉主色；不把所有白色相关短词统一否定</x:v>
      </x:c>
      <x:c r="K107" s="7" t="str">
        <x:v>鼠标垫推广跟进表格-2025.08.16.xlsx / 2026.08.07梳理ST关键词 行30</x:v>
      </x:c>
    </x:row>
    <x:row r="108" ht="30" customHeight="1">
      <x:c r="A108" s="7" t="str">
        <x:v>K103</x:v>
      </x:c>
      <x:c r="B108" s="7" t="str">
        <x:v>120x80 mauspad</x:v>
      </x:c>
      <x:c r="C108" s="7" t="str">
        <x:v>其他尺寸</x:v>
      </x:c>
      <x:c r="D108" s="7" t="str">
        <x:v>首轮不投</x:v>
      </x:c>
      <x:c r="E108" s="7" t="str">
        <x:v>否</x:v>
      </x:c>
      <x:c r="F108" s="31"/>
      <x:c r="G108" s="31"/>
      <x:c r="H108" s="32" t="str">
        <x:v>无量记录</x:v>
      </x:c>
      <x:c r="I108" s="12"/>
      <x:c r="J108" s="7" t="str">
        <x:v>尺寸不匹配900×400 mm</x:v>
      </x:c>
      <x:c r="K108" s="7" t="str">
        <x:v>鼠标垫推广跟进表格-2025.08.16.xlsx / 2026.08.07梳理ST关键词 行31</x:v>
      </x:c>
    </x:row>
    <x:row r="109" ht="30" customHeight="1">
      <x:c r="A109" s="7" t="str">
        <x:v>K104</x:v>
      </x:c>
      <x:c r="B109" s="7" t="str">
        <x:v>1400 x 600 mauspad</x:v>
      </x:c>
      <x:c r="C109" s="7" t="str">
        <x:v>其他尺寸</x:v>
      </x:c>
      <x:c r="D109" s="7" t="str">
        <x:v>首轮不投</x:v>
      </x:c>
      <x:c r="E109" s="7" t="str">
        <x:v>否</x:v>
      </x:c>
      <x:c r="F109" s="31"/>
      <x:c r="G109" s="31"/>
      <x:c r="H109" s="32" t="str">
        <x:v>无量记录</x:v>
      </x:c>
      <x:c r="I109" s="12"/>
      <x:c r="J109" s="7" t="str">
        <x:v>尺寸不匹配900×400 mm</x:v>
      </x:c>
      <x:c r="K109" s="7" t="str">
        <x:v>鼠标垫推广跟进表格-2025.08.16.xlsx / 2026.08.07梳理ST关键词 行33</x:v>
      </x:c>
    </x:row>
    <x:row r="110" ht="30" customHeight="1">
      <x:c r="A110" s="7" t="str">
        <x:v>K105</x:v>
      </x:c>
      <x:c r="B110" s="7" t="str">
        <x:v>1400x600 mauspad</x:v>
      </x:c>
      <x:c r="C110" s="7" t="str">
        <x:v>其他尺寸</x:v>
      </x:c>
      <x:c r="D110" s="7" t="str">
        <x:v>首轮不投</x:v>
      </x:c>
      <x:c r="E110" s="7" t="str">
        <x:v>否</x:v>
      </x:c>
      <x:c r="F110" s="31"/>
      <x:c r="G110" s="31"/>
      <x:c r="H110" s="32" t="str">
        <x:v>无量记录</x:v>
      </x:c>
      <x:c r="I110" s="12"/>
      <x:c r="J110" s="7" t="str">
        <x:v>尺寸不匹配900×400 mm</x:v>
      </x:c>
      <x:c r="K110" s="7" t="str">
        <x:v>鼠标垫推广跟进表格-2025.08.16.xlsx / 2026.08.07梳理ST关键词 行34</x:v>
      </x:c>
    </x:row>
    <x:row r="111" ht="30" customHeight="1">
      <x:c r="A111" s="7" t="str">
        <x:v>K106</x:v>
      </x:c>
      <x:c r="B111" s="7" t="str">
        <x:v>1400x700 mauspad</x:v>
      </x:c>
      <x:c r="C111" s="7" t="str">
        <x:v>其他尺寸</x:v>
      </x:c>
      <x:c r="D111" s="7" t="str">
        <x:v>首轮不投</x:v>
      </x:c>
      <x:c r="E111" s="7" t="str">
        <x:v>否</x:v>
      </x:c>
      <x:c r="F111" s="31"/>
      <x:c r="G111" s="31"/>
      <x:c r="H111" s="32" t="str">
        <x:v>无量记录</x:v>
      </x:c>
      <x:c r="I111" s="12"/>
      <x:c r="J111" s="7" t="str">
        <x:v>尺寸不匹配900×400 mm</x:v>
      </x:c>
      <x:c r="K111" s="7" t="str">
        <x:v>鼠标垫推广跟进表格-2025.08.16.xlsx / 2026.08.07梳理ST关键词 行35</x:v>
      </x:c>
    </x:row>
    <x:row r="112" ht="30" customHeight="1">
      <x:c r="A112" s="7" t="str">
        <x:v>K107</x:v>
      </x:c>
      <x:c r="B112" s="7" t="str">
        <x:v>140x60 mauspad</x:v>
      </x:c>
      <x:c r="C112" s="7" t="str">
        <x:v>其他尺寸</x:v>
      </x:c>
      <x:c r="D112" s="7" t="str">
        <x:v>首轮不投</x:v>
      </x:c>
      <x:c r="E112" s="7" t="str">
        <x:v>否</x:v>
      </x:c>
      <x:c r="F112" s="31"/>
      <x:c r="G112" s="31"/>
      <x:c r="H112" s="32" t="str">
        <x:v>无量记录</x:v>
      </x:c>
      <x:c r="I112" s="12"/>
      <x:c r="J112" s="7" t="str">
        <x:v>尺寸不匹配900×400 mm</x:v>
      </x:c>
      <x:c r="K112" s="7" t="str">
        <x:v>鼠标垫推广跟进表格-2025.08.16.xlsx / 2026.08.07梳理ST关键词 行36</x:v>
      </x:c>
    </x:row>
    <x:row r="113" ht="30" customHeight="1">
      <x:c r="A113" s="7" t="str">
        <x:v>K108</x:v>
      </x:c>
      <x:c r="B113" s="7" t="str">
        <x:v>140×60 mauspad weiß</x:v>
      </x:c>
      <x:c r="C113" s="7" t="str">
        <x:v>其他颜色</x:v>
      </x:c>
      <x:c r="D113" s="7" t="str">
        <x:v>首轮不投</x:v>
      </x:c>
      <x:c r="E113" s="7" t="str">
        <x:v>否</x:v>
      </x:c>
      <x:c r="F113" s="31"/>
      <x:c r="G113" s="31"/>
      <x:c r="H113" s="32" t="str">
        <x:v>无量记录</x:v>
      </x:c>
      <x:c r="I113" s="12"/>
      <x:c r="J113" s="7" t="str">
        <x:v>非本品黑灰红粉主色；不把所有白色相关短词统一否定</x:v>
      </x:c>
      <x:c r="K113" s="7" t="str">
        <x:v>鼠标垫推广跟进表格-2025.08.16.xlsx / 2026.08.07梳理ST关键词 行32</x:v>
      </x:c>
    </x:row>
    <x:row r="114" ht="30" customHeight="1">
      <x:c r="A114" s="7" t="str">
        <x:v>K109</x:v>
      </x:c>
      <x:c r="B114" s="7" t="str">
        <x:v>150cm mauspad</x:v>
      </x:c>
      <x:c r="C114" s="7" t="str">
        <x:v>尺寸待核实</x:v>
      </x:c>
      <x:c r="D114" s="7" t="str">
        <x:v>保留待核验</x:v>
      </x:c>
      <x:c r="E114" s="7" t="str">
        <x:v>否</x:v>
      </x:c>
      <x:c r="F114" s="31"/>
      <x:c r="G114" s="31"/>
      <x:c r="H114" s="32" t="str">
        <x:v>无量记录</x:v>
      </x:c>
      <x:c r="I114" s="12"/>
      <x:c r="J114" s="7" t="str">
        <x:v>尺寸意图不属于900版或表达需核实</x:v>
      </x:c>
      <x:c r="K114" s="7" t="str">
        <x:v>鼠标垫推广跟进表格-2025.08.16.xlsx / 2026.08.07梳理ST关键词 行37</x:v>
      </x:c>
    </x:row>
    <x:row r="115" ht="30" customHeight="1">
      <x:c r="A115" s="7" t="str">
        <x:v>K110</x:v>
      </x:c>
      <x:c r="B115" s="7" t="str">
        <x:v>160 x 60 mauspad gaming</x:v>
      </x:c>
      <x:c r="C115" s="7" t="str">
        <x:v>其他尺寸</x:v>
      </x:c>
      <x:c r="D115" s="7" t="str">
        <x:v>首轮不投</x:v>
      </x:c>
      <x:c r="E115" s="7" t="str">
        <x:v>否</x:v>
      </x:c>
      <x:c r="F115" s="31"/>
      <x:c r="G115" s="31"/>
      <x:c r="H115" s="32" t="str">
        <x:v>无量记录</x:v>
      </x:c>
      <x:c r="I115" s="12"/>
      <x:c r="J115" s="7" t="str">
        <x:v>尺寸不匹配900×400 mm</x:v>
      </x:c>
      <x:c r="K115" s="7" t="str">
        <x:v>鼠标垫推广跟进表格-2025.08.16.xlsx / 2026.08.07梳理ST关键词 行38</x:v>
      </x:c>
    </x:row>
    <x:row r="116" ht="30" customHeight="1">
      <x:c r="A116" s="7" t="str">
        <x:v>K111</x:v>
      </x:c>
      <x:c r="B116" s="7" t="str">
        <x:v>160 x 80 cm mauspad</x:v>
      </x:c>
      <x:c r="C116" s="7" t="str">
        <x:v>其他尺寸</x:v>
      </x:c>
      <x:c r="D116" s="7" t="str">
        <x:v>首轮不投</x:v>
      </x:c>
      <x:c r="E116" s="7" t="str">
        <x:v>否</x:v>
      </x:c>
      <x:c r="F116" s="31"/>
      <x:c r="G116" s="31"/>
      <x:c r="H116" s="32" t="str">
        <x:v>无量记录</x:v>
      </x:c>
      <x:c r="I116" s="12"/>
      <x:c r="J116" s="7" t="str">
        <x:v>尺寸不匹配900×400 mm</x:v>
      </x:c>
      <x:c r="K116" s="7" t="str">
        <x:v>鼠标垫推广跟进表格-2025.08.16.xlsx / 2026.08.07梳理ST关键词 行39</x:v>
      </x:c>
    </x:row>
    <x:row r="117" ht="30" customHeight="1">
      <x:c r="A117" s="7" t="str">
        <x:v>K112</x:v>
      </x:c>
      <x:c r="B117" s="7" t="str">
        <x:v>1600x800 mauspad</x:v>
      </x:c>
      <x:c r="C117" s="7" t="str">
        <x:v>其他尺寸</x:v>
      </x:c>
      <x:c r="D117" s="7" t="str">
        <x:v>首轮不投</x:v>
      </x:c>
      <x:c r="E117" s="7" t="str">
        <x:v>否</x:v>
      </x:c>
      <x:c r="F117" s="31"/>
      <x:c r="G117" s="31"/>
      <x:c r="H117" s="32" t="str">
        <x:v>无量记录</x:v>
      </x:c>
      <x:c r="I117" s="12"/>
      <x:c r="J117" s="7" t="str">
        <x:v>尺寸不匹配900×400 mm</x:v>
      </x:c>
      <x:c r="K117" s="7" t="str">
        <x:v>鼠标垫推广跟进表格-2025.08.16.xlsx / 2026.08.07梳理ST关键词 行40</x:v>
      </x:c>
    </x:row>
    <x:row r="118" ht="30" customHeight="1">
      <x:c r="A118" s="7" t="str">
        <x:v>K113</x:v>
      </x:c>
      <x:c r="B118" s="7" t="str">
        <x:v>160x70 mauspad</x:v>
      </x:c>
      <x:c r="C118" s="7" t="str">
        <x:v>其他尺寸</x:v>
      </x:c>
      <x:c r="D118" s="7" t="str">
        <x:v>首轮不投</x:v>
      </x:c>
      <x:c r="E118" s="7" t="str">
        <x:v>否</x:v>
      </x:c>
      <x:c r="F118" s="31"/>
      <x:c r="G118" s="31"/>
      <x:c r="H118" s="32" t="str">
        <x:v>无量记录</x:v>
      </x:c>
      <x:c r="I118" s="12"/>
      <x:c r="J118" s="7" t="str">
        <x:v>尺寸不匹配900×400 mm</x:v>
      </x:c>
      <x:c r="K118" s="7" t="str">
        <x:v>鼠标垫推广跟进表格-2025.08.16.xlsx / 2026.08.07梳理ST关键词 行41</x:v>
      </x:c>
    </x:row>
    <x:row r="119" ht="30" customHeight="1">
      <x:c r="A119" s="7" t="str">
        <x:v>K114</x:v>
      </x:c>
      <x:c r="B119" s="7" t="str">
        <x:v>160x75 mauspad</x:v>
      </x:c>
      <x:c r="C119" s="7" t="str">
        <x:v>其他尺寸</x:v>
      </x:c>
      <x:c r="D119" s="7" t="str">
        <x:v>首轮不投</x:v>
      </x:c>
      <x:c r="E119" s="7" t="str">
        <x:v>否</x:v>
      </x:c>
      <x:c r="F119" s="31"/>
      <x:c r="G119" s="31"/>
      <x:c r="H119" s="32" t="str">
        <x:v>无量记录</x:v>
      </x:c>
      <x:c r="I119" s="12"/>
      <x:c r="J119" s="7" t="str">
        <x:v>尺寸不匹配900×400 mm</x:v>
      </x:c>
      <x:c r="K119" s="7" t="str">
        <x:v>鼠标垫推广跟进表格-2025.08.16.xlsx / 2026.08.07梳理ST关键词 行42</x:v>
      </x:c>
    </x:row>
    <x:row r="120" ht="30" customHeight="1">
      <x:c r="A120" s="7" t="str">
        <x:v>K115</x:v>
      </x:c>
      <x:c r="B120" s="7" t="str">
        <x:v>160x80 gaming mauspad</x:v>
      </x:c>
      <x:c r="C120" s="7" t="str">
        <x:v>其他尺寸</x:v>
      </x:c>
      <x:c r="D120" s="7" t="str">
        <x:v>首轮不投</x:v>
      </x:c>
      <x:c r="E120" s="7" t="str">
        <x:v>否</x:v>
      </x:c>
      <x:c r="F120" s="31"/>
      <x:c r="G120" s="31"/>
      <x:c r="H120" s="32" t="str">
        <x:v>无量记录</x:v>
      </x:c>
      <x:c r="I120" s="12"/>
      <x:c r="J120" s="7" t="str">
        <x:v>尺寸不匹配900×400 mm</x:v>
      </x:c>
      <x:c r="K120" s="7" t="str">
        <x:v>鼠标垫推广跟进表格-2025.08.16.xlsx / 2026.08.07梳理ST关键词 行43</x:v>
      </x:c>
    </x:row>
    <x:row r="121" ht="30" customHeight="1">
      <x:c r="A121" s="7" t="str">
        <x:v>K116</x:v>
      </x:c>
      <x:c r="B121" s="7" t="str">
        <x:v>170cm 50cm mauspad</x:v>
      </x:c>
      <x:c r="C121" s="7" t="str">
        <x:v>尺寸待核实</x:v>
      </x:c>
      <x:c r="D121" s="7" t="str">
        <x:v>保留待核验</x:v>
      </x:c>
      <x:c r="E121" s="7" t="str">
        <x:v>否</x:v>
      </x:c>
      <x:c r="F121" s="31"/>
      <x:c r="G121" s="31"/>
      <x:c r="H121" s="32" t="str">
        <x:v>无量记录</x:v>
      </x:c>
      <x:c r="I121" s="12"/>
      <x:c r="J121" s="7" t="str">
        <x:v>尺寸意图不属于900版或表达需核实</x:v>
      </x:c>
      <x:c r="K121" s="7" t="str">
        <x:v>鼠标垫推广跟进表格-2025.08.16.xlsx / 2026.08.07梳理ST关键词 行44</x:v>
      </x:c>
    </x:row>
    <x:row r="122" ht="30" customHeight="1">
      <x:c r="A122" s="7" t="str">
        <x:v>K117</x:v>
      </x:c>
      <x:c r="B122" s="7" t="str">
        <x:v>170x80 mauspad</x:v>
      </x:c>
      <x:c r="C122" s="7" t="str">
        <x:v>其他尺寸</x:v>
      </x:c>
      <x:c r="D122" s="7" t="str">
        <x:v>首轮不投</x:v>
      </x:c>
      <x:c r="E122" s="7" t="str">
        <x:v>否</x:v>
      </x:c>
      <x:c r="F122" s="31"/>
      <x:c r="G122" s="31"/>
      <x:c r="H122" s="32" t="str">
        <x:v>无量记录</x:v>
      </x:c>
      <x:c r="I122" s="12"/>
      <x:c r="J122" s="7" t="str">
        <x:v>尺寸不匹配900×400 mm</x:v>
      </x:c>
      <x:c r="K122" s="7" t="str">
        <x:v>鼠标垫推广跟进表格-2025.08.16.xlsx / 2026.08.07梳理ST关键词 行45</x:v>
      </x:c>
    </x:row>
    <x:row r="123" ht="30" customHeight="1">
      <x:c r="A123" s="7" t="str">
        <x:v>K118</x:v>
      </x:c>
      <x:c r="B123" s="7" t="str">
        <x:v>180x60 mauspad</x:v>
      </x:c>
      <x:c r="C123" s="7" t="str">
        <x:v>其他尺寸</x:v>
      </x:c>
      <x:c r="D123" s="7" t="str">
        <x:v>首轮不投</x:v>
      </x:c>
      <x:c r="E123" s="7" t="str">
        <x:v>否</x:v>
      </x:c>
      <x:c r="F123" s="31"/>
      <x:c r="G123" s="31"/>
      <x:c r="H123" s="32" t="str">
        <x:v>无量记录</x:v>
      </x:c>
      <x:c r="I123" s="12"/>
      <x:c r="J123" s="7" t="str">
        <x:v>尺寸不匹配900×400 mm</x:v>
      </x:c>
      <x:c r="K123" s="7" t="str">
        <x:v>鼠标垫推广跟进表格-2025.08.16.xlsx / 2026.08.07梳理ST关键词 行46</x:v>
      </x:c>
    </x:row>
    <x:row r="124" ht="30" customHeight="1">
      <x:c r="A124" s="7" t="str">
        <x:v>K119</x:v>
      </x:c>
      <x:c r="B124" s="7" t="str">
        <x:v>200x80 mauspad</x:v>
      </x:c>
      <x:c r="C124" s="7" t="str">
        <x:v>其他尺寸</x:v>
      </x:c>
      <x:c r="D124" s="7" t="str">
        <x:v>首轮不投</x:v>
      </x:c>
      <x:c r="E124" s="7" t="str">
        <x:v>否</x:v>
      </x:c>
      <x:c r="F124" s="31"/>
      <x:c r="G124" s="31"/>
      <x:c r="H124" s="32" t="str">
        <x:v>无量记录</x:v>
      </x:c>
      <x:c r="I124" s="12"/>
      <x:c r="J124" s="7" t="str">
        <x:v>尺寸不匹配900×400 mm</x:v>
      </x:c>
      <x:c r="K124" s="7" t="str">
        <x:v>鼠标垫推广跟进表格-2025.08.16.xlsx / 2026.08.07梳理ST关键词 行48</x:v>
      </x:c>
    </x:row>
    <x:row r="125" ht="30" customHeight="1">
      <x:c r="A125" s="7" t="str">
        <x:v>K120</x:v>
      </x:c>
      <x:c r="B125" s="7" t="str">
        <x:v>20€ schreibtisch matte</x:v>
      </x:c>
      <x:c r="C125" s="7" t="str">
        <x:v>相关性待核实</x:v>
      </x:c>
      <x:c r="D125" s="7" t="str">
        <x:v>保留待核验</x:v>
      </x:c>
      <x:c r="E125" s="7" t="str">
        <x:v>否</x:v>
      </x:c>
      <x:c r="F125" s="31"/>
      <x:c r="G125" s="31"/>
      <x:c r="H125" s="32" t="str">
        <x:v>无量记录</x:v>
      </x:c>
      <x:c r="I125" s="12"/>
      <x:c r="J125" s="7" t="str">
        <x:v>含义或相关性待人工复核</x:v>
      </x:c>
      <x:c r="K125" s="7" t="str">
        <x:v>鼠标垫推广跟进表格-2025.08.16.xlsx / 2026.08.07梳理ST关键词 行47</x:v>
      </x:c>
    </x:row>
    <x:row r="126" ht="30" customHeight="1">
      <x:c r="A126" s="7" t="str">
        <x:v>K121</x:v>
      </x:c>
      <x:c r="B126" s="7" t="str">
        <x:v>3d anime mousepad</x:v>
      </x:c>
      <x:c r="C126" s="7" t="str">
        <x:v>不符结构或功能</x:v>
      </x:c>
      <x:c r="D126" s="7" t="str">
        <x:v>排除候选，确认产品事实</x:v>
      </x:c>
      <x:c r="E126" s="7" t="str">
        <x:v>否</x:v>
      </x:c>
      <x:c r="F126" s="31"/>
      <x:c r="G126" s="31"/>
      <x:c r="H126" s="32" t="str">
        <x:v>无量记录</x:v>
      </x:c>
      <x:c r="I126" s="12"/>
      <x:c r="J126" s="7" t="str">
        <x:v>与平面月下武士桌垫不符或特定结构/功能未经证实</x:v>
      </x:c>
      <x:c r="K126" s="7" t="str">
        <x:v>鼠标垫推广跟进表格-2025.08.16.xlsx / 2026.08.07梳理ST关键词 行5</x:v>
      </x:c>
    </x:row>
    <x:row r="127" ht="30" customHeight="1">
      <x:c r="A127" s="7" t="str">
        <x:v>K122</x:v>
      </x:c>
      <x:c r="B127" s="7" t="str">
        <x:v>3d gaming mousepad</x:v>
      </x:c>
      <x:c r="C127" s="7" t="str">
        <x:v>不符结构或功能</x:v>
      </x:c>
      <x:c r="D127" s="7" t="str">
        <x:v>排除候选，确认产品事实</x:v>
      </x:c>
      <x:c r="E127" s="7" t="str">
        <x:v>否</x:v>
      </x:c>
      <x:c r="F127" s="31"/>
      <x:c r="G127" s="31"/>
      <x:c r="H127" s="32" t="str">
        <x:v>无量记录</x:v>
      </x:c>
      <x:c r="I127" s="12"/>
      <x:c r="J127" s="7" t="str">
        <x:v>与平面月下武士桌垫不符或特定结构/功能未经证实</x:v>
      </x:c>
      <x:c r="K127" s="7" t="str">
        <x:v>鼠标垫推广跟进表格-2025.08.16.xlsx / 2026.08.07梳理ST关键词 行6</x:v>
      </x:c>
    </x:row>
    <x:row r="128" ht="30" customHeight="1">
      <x:c r="A128" s="7" t="str">
        <x:v>K123</x:v>
      </x:c>
      <x:c r="B128" s="7" t="str">
        <x:v>3d-mauspad</x:v>
      </x:c>
      <x:c r="C128" s="7" t="str">
        <x:v>不符结构或功能</x:v>
      </x:c>
      <x:c r="D128" s="7" t="str">
        <x:v>排除候选，确认产品事实</x:v>
      </x:c>
      <x:c r="E128" s="7" t="str">
        <x:v>否</x:v>
      </x:c>
      <x:c r="F128" s="31"/>
      <x:c r="G128" s="31"/>
      <x:c r="H128" s="32" t="str">
        <x:v>无量记录</x:v>
      </x:c>
      <x:c r="I128" s="12"/>
      <x:c r="J128" s="7" t="str">
        <x:v>与平面月下武士桌垫不符或特定结构/功能未经证实</x:v>
      </x:c>
      <x:c r="K128" s="7" t="str">
        <x:v>鼠标垫推广跟进表格-2025.08.16.xlsx / 2026.08.07梳理ST关键词 行7</x:v>
      </x:c>
    </x:row>
    <x:row r="129" ht="30" customHeight="1">
      <x:c r="A129" s="7" t="str">
        <x:v>K124</x:v>
      </x:c>
      <x:c r="B129" s="7" t="str">
        <x:v>3xl mauspad 1200 x600</x:v>
      </x:c>
      <x:c r="C129" s="7" t="str">
        <x:v>1200版尺寸</x:v>
      </x:c>
      <x:c r="D129" s="7" t="str">
        <x:v>其他尺寸单独处理</x:v>
      </x:c>
      <x:c r="E129" s="7" t="str">
        <x:v>否</x:v>
      </x:c>
      <x:c r="F129" s="31"/>
      <x:c r="G129" s="31"/>
      <x:c r="H129" s="32" t="str">
        <x:v>无量记录</x:v>
      </x:c>
      <x:c r="I129" s="12"/>
      <x:c r="J129" s="7" t="str">
        <x:v>属于1200版，不进入本轮900版</x:v>
      </x:c>
      <x:c r="K129" s="7" t="str">
        <x:v>鼠标垫推广跟进表格-2025.08.16.xlsx / 2026.08.07梳理ST关键词 行49</x:v>
      </x:c>
    </x:row>
    <x:row r="130" ht="30" customHeight="1">
      <x:c r="A130" s="7" t="str">
        <x:v>K125</x:v>
      </x:c>
      <x:c r="B130" s="7" t="str">
        <x:v>40x90 mouse pad</x:v>
      </x:c>
      <x:c r="C130" s="7" t="str">
        <x:v>900×400精确尺寸</x:v>
      </x:c>
      <x:c r="D130" s="7" t="str">
        <x:v>候选</x:v>
      </x:c>
      <x:c r="E130" s="7" t="str">
        <x:v>否</x:v>
      </x:c>
      <x:c r="F130" s="31"/>
      <x:c r="G130" s="31"/>
      <x:c r="H130" s="32" t="str">
        <x:v>无量记录</x:v>
      </x:c>
      <x:c r="I130" s="12"/>
      <x:c r="J130" s="7" t="str">
        <x:v>与本轮实际尺寸一致</x:v>
      </x:c>
      <x:c r="K130" s="7" t="str">
        <x:v>鼠标垫推广跟进表格-2025.08.16.xlsx / 2026.08.07梳理ST关键词 行50</x:v>
      </x:c>
    </x:row>
    <x:row r="131" ht="30" customHeight="1">
      <x:c r="A131" s="7" t="str">
        <x:v>K126</x:v>
      </x:c>
      <x:c r="B131" s="7" t="str">
        <x:v>500x1000x3mm mousepad white</x:v>
      </x:c>
      <x:c r="C131" s="7" t="str">
        <x:v>其他颜色</x:v>
      </x:c>
      <x:c r="D131" s="7" t="str">
        <x:v>首轮不投</x:v>
      </x:c>
      <x:c r="E131" s="7" t="str">
        <x:v>否</x:v>
      </x:c>
      <x:c r="F131" s="31"/>
      <x:c r="G131" s="31"/>
      <x:c r="H131" s="32" t="str">
        <x:v>无量记录</x:v>
      </x:c>
      <x:c r="I131" s="12"/>
      <x:c r="J131" s="7" t="str">
        <x:v>非本品黑灰红粉主色；不把所有白色相关短词统一否定</x:v>
      </x:c>
      <x:c r="K131" s="7" t="str">
        <x:v>鼠标垫推广跟进表格-2025.08.16.xlsx / 2026.08.07梳理ST关键词 行51</x:v>
      </x:c>
    </x:row>
    <x:row r="132" ht="30" customHeight="1">
      <x:c r="A132" s="7" t="str">
        <x:v>K127</x:v>
      </x:c>
      <x:c r="B132" s="7" t="str">
        <x:v>60x30 cm mauspad appa</x:v>
      </x:c>
      <x:c r="C132" s="7" t="str">
        <x:v>其他图案</x:v>
      </x:c>
      <x:c r="D132" s="7" t="str">
        <x:v>首轮不投</x:v>
      </x:c>
      <x:c r="E132" s="7" t="str">
        <x:v>否</x:v>
      </x:c>
      <x:c r="F132" s="31"/>
      <x:c r="G132" s="31"/>
      <x:c r="H132" s="32" t="str">
        <x:v>无量记录</x:v>
      </x:c>
      <x:c r="I132" s="12"/>
      <x:c r="J132" s="7" t="str">
        <x:v>其他图案/人物意图，不适合单月下武士ASIN</x:v>
      </x:c>
      <x:c r="K132" s="7" t="str">
        <x:v>鼠标垫推广跟进表格-2025.08.16.xlsx / 2026.08.07梳理ST关键词 行52</x:v>
      </x:c>
    </x:row>
    <x:row r="133" ht="30" customHeight="1">
      <x:c r="A133" s="7" t="str">
        <x:v>K128</x:v>
      </x:c>
      <x:c r="B133" s="7" t="str">
        <x:v>800 x 300 mauspad</x:v>
      </x:c>
      <x:c r="C133" s="7" t="str">
        <x:v>其他尺寸</x:v>
      </x:c>
      <x:c r="D133" s="7" t="str">
        <x:v>首轮不投</x:v>
      </x:c>
      <x:c r="E133" s="7" t="str">
        <x:v>否</x:v>
      </x:c>
      <x:c r="F133" s="31"/>
      <x:c r="G133" s="31"/>
      <x:c r="H133" s="32" t="str">
        <x:v>无量记录</x:v>
      </x:c>
      <x:c r="I133" s="12"/>
      <x:c r="J133" s="7" t="str">
        <x:v>尺寸不匹配900×400 mm</x:v>
      </x:c>
      <x:c r="K133" s="7" t="str">
        <x:v>鼠标垫推广跟进表格-2025.08.16.xlsx / 2026.08.07梳理ST关键词 行53</x:v>
      </x:c>
    </x:row>
    <x:row r="134" ht="30" customHeight="1">
      <x:c r="A134" s="7" t="str">
        <x:v>K129</x:v>
      </x:c>
      <x:c r="B134" s="7" t="str">
        <x:v>800x400 mauspad</x:v>
      </x:c>
      <x:c r="C134" s="7" t="str">
        <x:v>其他尺寸</x:v>
      </x:c>
      <x:c r="D134" s="7" t="str">
        <x:v>首轮不投</x:v>
      </x:c>
      <x:c r="E134" s="7" t="str">
        <x:v>否</x:v>
      </x:c>
      <x:c r="F134" s="31"/>
      <x:c r="G134" s="31"/>
      <x:c r="H134" s="32" t="str">
        <x:v>无量记录</x:v>
      </x:c>
      <x:c r="I134" s="12"/>
      <x:c r="J134" s="7" t="str">
        <x:v>尺寸不匹配900×400 mm</x:v>
      </x:c>
      <x:c r="K134" s="7" t="str">
        <x:v>鼠标垫推广跟进表格-2025.08.16.xlsx / 2026.08.07梳理ST关键词 行54</x:v>
      </x:c>
    </x:row>
    <x:row r="135" ht="30" customHeight="1">
      <x:c r="A135" s="7" t="str">
        <x:v>K130</x:v>
      </x:c>
      <x:c r="B135" s="7" t="str">
        <x:v>80x50cm mousepad gaming</x:v>
      </x:c>
      <x:c r="C135" s="7" t="str">
        <x:v>其他尺寸</x:v>
      </x:c>
      <x:c r="D135" s="7" t="str">
        <x:v>首轮不投</x:v>
      </x:c>
      <x:c r="E135" s="7" t="str">
        <x:v>否</x:v>
      </x:c>
      <x:c r="F135" s="31"/>
      <x:c r="G135" s="31"/>
      <x:c r="H135" s="32" t="str">
        <x:v>无量记录</x:v>
      </x:c>
      <x:c r="I135" s="12"/>
      <x:c r="J135" s="7" t="str">
        <x:v>尺寸不匹配900×400 mm</x:v>
      </x:c>
      <x:c r="K135" s="7" t="str">
        <x:v>鼠标垫推广跟进表格-2025.08.16.xlsx / 2026.08.07梳理ST关键词 行55</x:v>
      </x:c>
    </x:row>
    <x:row r="136" ht="30" customHeight="1">
      <x:c r="A136" s="7" t="str">
        <x:v>K131</x:v>
      </x:c>
      <x:c r="B136" s="7" t="str">
        <x:v>900 x 500 mauspad</x:v>
      </x:c>
      <x:c r="C136" s="7" t="str">
        <x:v>其他尺寸</x:v>
      </x:c>
      <x:c r="D136" s="7" t="str">
        <x:v>首轮不投</x:v>
      </x:c>
      <x:c r="E136" s="7" t="str">
        <x:v>否</x:v>
      </x:c>
      <x:c r="F136" s="31"/>
      <x:c r="G136" s="31"/>
      <x:c r="H136" s="32" t="str">
        <x:v>无量记录</x:v>
      </x:c>
      <x:c r="I136" s="12"/>
      <x:c r="J136" s="7" t="str">
        <x:v>尺寸不匹配900×400 mm</x:v>
      </x:c>
      <x:c r="K136" s="7" t="str">
        <x:v>鼠标垫推广跟进表格-2025.08.16.xlsx / 2026.08.07梳理ST关键词 行57</x:v>
      </x:c>
    </x:row>
    <x:row r="137" ht="30" customHeight="1">
      <x:c r="A137" s="7" t="str">
        <x:v>K132</x:v>
      </x:c>
      <x:c r="B137" s="7" t="str">
        <x:v>900mm 500mm mauspad</x:v>
      </x:c>
      <x:c r="C137" s="7" t="str">
        <x:v>品类或桌面场景</x:v>
      </x:c>
      <x:c r="D137" s="7" t="str">
        <x:v>候选</x:v>
      </x:c>
      <x:c r="E137" s="7" t="str">
        <x:v>否</x:v>
      </x:c>
      <x:c r="F137" s="31"/>
      <x:c r="G137" s="31"/>
      <x:c r="H137" s="32" t="str">
        <x:v>无量记录</x:v>
      </x:c>
      <x:c r="I137" s="12"/>
      <x:c r="J137" s="7" t="str">
        <x:v>品类/桌面使用相关；宽泛桌垫词需小范围测试</x:v>
      </x:c>
      <x:c r="K137" s="7" t="str">
        <x:v>鼠标垫推广跟进表格-2025.08.16.xlsx / 2026.08.07梳理ST关键词 行58</x:v>
      </x:c>
    </x:row>
    <x:row r="138" ht="30" customHeight="1">
      <x:c r="A138" s="7" t="str">
        <x:v>K133</x:v>
      </x:c>
      <x:c r="B138" s="7" t="str">
        <x:v>900x400 mauspad</x:v>
      </x:c>
      <x:c r="C138" s="7" t="str">
        <x:v>900×400精确尺寸</x:v>
      </x:c>
      <x:c r="D138" s="7" t="str">
        <x:v>候选</x:v>
      </x:c>
      <x:c r="E138" s="7" t="str">
        <x:v>否</x:v>
      </x:c>
      <x:c r="F138" s="31"/>
      <x:c r="G138" s="31"/>
      <x:c r="H138" s="32" t="str">
        <x:v>无量记录</x:v>
      </x:c>
      <x:c r="I138" s="12"/>
      <x:c r="J138" s="7" t="str">
        <x:v>与本轮实际尺寸一致</x:v>
      </x:c>
      <x:c r="K138" s="7" t="str">
        <x:v>鼠标垫推广跟进表格-2025.08.16.xlsx / 2026.08.07梳理ST关键词 行59</x:v>
      </x:c>
    </x:row>
    <x:row r="139" ht="30" customHeight="1">
      <x:c r="A139" s="7" t="str">
        <x:v>K134</x:v>
      </x:c>
      <x:c r="B139" s="7" t="str">
        <x:v>900x400 mm mousepad</x:v>
      </x:c>
      <x:c r="C139" s="7" t="str">
        <x:v>900×400精确尺寸</x:v>
      </x:c>
      <x:c r="D139" s="7" t="str">
        <x:v>候选</x:v>
      </x:c>
      <x:c r="E139" s="7" t="str">
        <x:v>否</x:v>
      </x:c>
      <x:c r="F139" s="31"/>
      <x:c r="G139" s="31"/>
      <x:c r="H139" s="32" t="str">
        <x:v>无量记录</x:v>
      </x:c>
      <x:c r="I139" s="12"/>
      <x:c r="J139" s="7" t="str">
        <x:v>与本轮实际尺寸一致</x:v>
      </x:c>
      <x:c r="K139" s="7" t="str">
        <x:v>鼠标垫推广跟进表格-2025.08.16.xlsx / 2026.08.07梳理ST关键词 行63</x:v>
      </x:c>
    </x:row>
    <x:row r="140" ht="30" customHeight="1">
      <x:c r="A140" s="7" t="str">
        <x:v>K135</x:v>
      </x:c>
      <x:c r="B140" s="7" t="str">
        <x:v>900x400 mousepad</x:v>
      </x:c>
      <x:c r="C140" s="7" t="str">
        <x:v>900×400精确尺寸</x:v>
      </x:c>
      <x:c r="D140" s="7" t="str">
        <x:v>候选</x:v>
      </x:c>
      <x:c r="E140" s="7" t="str">
        <x:v>否</x:v>
      </x:c>
      <x:c r="F140" s="31"/>
      <x:c r="G140" s="31"/>
      <x:c r="H140" s="32" t="str">
        <x:v>无量记录</x:v>
      </x:c>
      <x:c r="I140" s="12"/>
      <x:c r="J140" s="7" t="str">
        <x:v>与本轮实际尺寸一致</x:v>
      </x:c>
      <x:c r="K140" s="7" t="str">
        <x:v>鼠标垫推广跟进表格-2025.08.16.xlsx / 2026.08.07梳理ST关键词 行60</x:v>
      </x:c>
    </x:row>
    <x:row r="141" ht="30" customHeight="1">
      <x:c r="A141" s="7" t="str">
        <x:v>K136</x:v>
      </x:c>
      <x:c r="B141" s="7" t="str">
        <x:v>900x400 mousepad schwarz</x:v>
      </x:c>
      <x:c r="C141" s="7" t="str">
        <x:v>900×400精确尺寸</x:v>
      </x:c>
      <x:c r="D141" s="7" t="str">
        <x:v>候选</x:v>
      </x:c>
      <x:c r="E141" s="7" t="str">
        <x:v>否</x:v>
      </x:c>
      <x:c r="F141" s="31"/>
      <x:c r="G141" s="31"/>
      <x:c r="H141" s="32" t="str">
        <x:v>无量记录</x:v>
      </x:c>
      <x:c r="I141" s="12"/>
      <x:c r="J141" s="7" t="str">
        <x:v>与本轮实际尺寸一致</x:v>
      </x:c>
      <x:c r="K141" s="7" t="str">
        <x:v>鼠标垫推广跟进表格-2025.08.16.xlsx / 2026.08.07梳理ST关键词 行61</x:v>
      </x:c>
    </x:row>
    <x:row r="142" ht="30" customHeight="1">
      <x:c r="A142" s="7" t="str">
        <x:v>K137</x:v>
      </x:c>
      <x:c r="B142" s="7" t="str">
        <x:v>900x400 mousepad white</x:v>
      </x:c>
      <x:c r="C142" s="7" t="str">
        <x:v>其他颜色</x:v>
      </x:c>
      <x:c r="D142" s="7" t="str">
        <x:v>首轮不投</x:v>
      </x:c>
      <x:c r="E142" s="7" t="str">
        <x:v>否</x:v>
      </x:c>
      <x:c r="F142" s="31"/>
      <x:c r="G142" s="31"/>
      <x:c r="H142" s="32" t="str">
        <x:v>无量记录</x:v>
      </x:c>
      <x:c r="I142" s="12"/>
      <x:c r="J142" s="7" t="str">
        <x:v>非本品黑灰红粉主色；不把所有白色相关短词统一否定</x:v>
      </x:c>
      <x:c r="K142" s="7" t="str">
        <x:v>鼠标垫推广跟进表格-2025.08.16.xlsx / 2026.08.07梳理ST关键词 行62</x:v>
      </x:c>
    </x:row>
    <x:row r="143" ht="30" customHeight="1">
      <x:c r="A143" s="7" t="str">
        <x:v>K138</x:v>
      </x:c>
      <x:c r="B143" s="7" t="str">
        <x:v>900x400mm mauspad</x:v>
      </x:c>
      <x:c r="C143" s="7" t="str">
        <x:v>900×400精确尺寸</x:v>
      </x:c>
      <x:c r="D143" s="7" t="str">
        <x:v>候选</x:v>
      </x:c>
      <x:c r="E143" s="7" t="str">
        <x:v>否</x:v>
      </x:c>
      <x:c r="F143" s="31"/>
      <x:c r="G143" s="31"/>
      <x:c r="H143" s="32" t="str">
        <x:v>无量记录</x:v>
      </x:c>
      <x:c r="I143" s="12"/>
      <x:c r="J143" s="7" t="str">
        <x:v>与本轮实际尺寸一致</x:v>
      </x:c>
      <x:c r="K143" s="7" t="str">
        <x:v>鼠标垫推广跟进表格-2025.08.16.xlsx / 2026.08.07梳理ST关键词 行64</x:v>
      </x:c>
    </x:row>
    <x:row r="144" ht="30" customHeight="1">
      <x:c r="A144" s="7" t="str">
        <x:v>K139</x:v>
      </x:c>
      <x:c r="B144" s="7" t="str">
        <x:v>900x500mm mauspad</x:v>
      </x:c>
      <x:c r="C144" s="7" t="str">
        <x:v>其他尺寸</x:v>
      </x:c>
      <x:c r="D144" s="7" t="str">
        <x:v>首轮不投</x:v>
      </x:c>
      <x:c r="E144" s="7" t="str">
        <x:v>否</x:v>
      </x:c>
      <x:c r="F144" s="31"/>
      <x:c r="G144" s="31"/>
      <x:c r="H144" s="32" t="str">
        <x:v>无量记录</x:v>
      </x:c>
      <x:c r="I144" s="12"/>
      <x:c r="J144" s="7" t="str">
        <x:v>尺寸不匹配900×400 mm</x:v>
      </x:c>
      <x:c r="K144" s="7" t="str">
        <x:v>鼠标垫推广跟进表格-2025.08.16.xlsx / 2026.08.07梳理ST关键词 行65</x:v>
      </x:c>
    </x:row>
    <x:row r="145" ht="30" customHeight="1">
      <x:c r="A145" s="7" t="str">
        <x:v>K140</x:v>
      </x:c>
      <x:c r="B145" s="7" t="str">
        <x:v>900x500mm mauspad japanisch</x:v>
      </x:c>
      <x:c r="C145" s="7" t="str">
        <x:v>其他尺寸</x:v>
      </x:c>
      <x:c r="D145" s="7" t="str">
        <x:v>首轮不投</x:v>
      </x:c>
      <x:c r="E145" s="7" t="str">
        <x:v>否</x:v>
      </x:c>
      <x:c r="F145" s="31"/>
      <x:c r="G145" s="31"/>
      <x:c r="H145" s="32" t="str">
        <x:v>无量记录</x:v>
      </x:c>
      <x:c r="I145" s="12"/>
      <x:c r="J145" s="7" t="str">
        <x:v>尺寸不匹配900×400 mm</x:v>
      </x:c>
      <x:c r="K145" s="7" t="str">
        <x:v>鼠标垫推广跟进表格-2025.08.16.xlsx / 2026.08.07梳理ST关键词 行66</x:v>
      </x:c>
    </x:row>
    <x:row r="146" ht="30" customHeight="1">
      <x:c r="A146" s="7" t="str">
        <x:v>K141</x:v>
      </x:c>
      <x:c r="B146" s="7" t="str">
        <x:v>900x600 mauspad</x:v>
      </x:c>
      <x:c r="C146" s="7" t="str">
        <x:v>其他尺寸</x:v>
      </x:c>
      <x:c r="D146" s="7" t="str">
        <x:v>首轮不投</x:v>
      </x:c>
      <x:c r="E146" s="7" t="str">
        <x:v>否</x:v>
      </x:c>
      <x:c r="F146" s="31"/>
      <x:c r="G146" s="31"/>
      <x:c r="H146" s="32" t="str">
        <x:v>无量记录</x:v>
      </x:c>
      <x:c r="I146" s="12"/>
      <x:c r="J146" s="7" t="str">
        <x:v>尺寸不匹配900×400 mm</x:v>
      </x:c>
      <x:c r="K146" s="7" t="str">
        <x:v>鼠标垫推广跟进表格-2025.08.16.xlsx / 2026.08.07梳理ST关键词 行67</x:v>
      </x:c>
    </x:row>
    <x:row r="147" ht="30" customHeight="1">
      <x:c r="A147" s="7" t="str">
        <x:v>K142</x:v>
      </x:c>
      <x:c r="B147" s="7" t="str">
        <x:v>90x40 gaming mousepad</x:v>
      </x:c>
      <x:c r="C147" s="7" t="str">
        <x:v>900×400精确尺寸</x:v>
      </x:c>
      <x:c r="D147" s="7" t="str">
        <x:v>候选</x:v>
      </x:c>
      <x:c r="E147" s="7" t="str">
        <x:v>否</x:v>
      </x:c>
      <x:c r="F147" s="31"/>
      <x:c r="G147" s="31"/>
      <x:c r="H147" s="32" t="str">
        <x:v>无量记录</x:v>
      </x:c>
      <x:c r="I147" s="12"/>
      <x:c r="J147" s="7" t="str">
        <x:v>与本轮实际尺寸一致</x:v>
      </x:c>
      <x:c r="K147" s="7" t="str">
        <x:v>鼠标垫推广跟进表格-2025.08.16.xlsx / 2026.08.07梳理ST关键词 行68</x:v>
      </x:c>
    </x:row>
    <x:row r="148" ht="30" customHeight="1">
      <x:c r="A148" s="7" t="str">
        <x:v>K143</x:v>
      </x:c>
      <x:c r="B148" s="7" t="str">
        <x:v>90x40 mauspad xxl</x:v>
      </x:c>
      <x:c r="C148" s="7" t="str">
        <x:v>900×400精确尺寸</x:v>
      </x:c>
      <x:c r="D148" s="7" t="str">
        <x:v>候选</x:v>
      </x:c>
      <x:c r="E148" s="7" t="str">
        <x:v>否</x:v>
      </x:c>
      <x:c r="F148" s="31"/>
      <x:c r="G148" s="31"/>
      <x:c r="H148" s="32" t="str">
        <x:v>无量记录</x:v>
      </x:c>
      <x:c r="I148" s="12"/>
      <x:c r="J148" s="7" t="str">
        <x:v>与本轮实际尺寸一致</x:v>
      </x:c>
      <x:c r="K148" s="7" t="str">
        <x:v>鼠标垫推广跟进表格-2025.08.16.xlsx / 2026.08.07梳理ST关键词 行69</x:v>
      </x:c>
    </x:row>
    <x:row r="149" ht="30" customHeight="1">
      <x:c r="A149" s="7" t="str">
        <x:v>K144</x:v>
      </x:c>
      <x:c r="B149" s="7" t="str">
        <x:v>90×40 mauspad</x:v>
      </x:c>
      <x:c r="C149" s="7" t="str">
        <x:v>900×400精确尺寸</x:v>
      </x:c>
      <x:c r="D149" s="7" t="str">
        <x:v>候选</x:v>
      </x:c>
      <x:c r="E149" s="7" t="str">
        <x:v>否</x:v>
      </x:c>
      <x:c r="F149" s="31"/>
      <x:c r="G149" s="31"/>
      <x:c r="H149" s="32" t="str">
        <x:v>无量记录</x:v>
      </x:c>
      <x:c r="I149" s="12"/>
      <x:c r="J149" s="7" t="str">
        <x:v>与本轮实际尺寸一致</x:v>
      </x:c>
      <x:c r="K149" s="7" t="str">
        <x:v>鼠标垫推广跟进表格-2025.08.16.xlsx / 2026.08.07梳理ST关键词 行56</x:v>
      </x:c>
    </x:row>
    <x:row r="150" ht="30" customHeight="1">
      <x:c r="A150" s="7" t="str">
        <x:v>K145</x:v>
      </x:c>
      <x:c r="B150" s="7" t="str">
        <x:v>anime gaming mauspad xxl</x:v>
      </x:c>
      <x:c r="C150" s="7" t="str">
        <x:v>动漫风格待验证</x:v>
      </x:c>
      <x:c r="D150" s="7" t="str">
        <x:v>保留待核验</x:v>
      </x:c>
      <x:c r="E150" s="7" t="str">
        <x:v>否</x:v>
      </x:c>
      <x:c r="F150" s="31"/>
      <x:c r="G150" s="31"/>
      <x:c r="H150" s="32" t="str">
        <x:v>无量记录</x:v>
      </x:c>
      <x:c r="I150" s="12"/>
      <x:c r="J150" s="7" t="str">
        <x:v>武士插画不等于特定动漫/授权IP；另作相关性验证</x:v>
      </x:c>
      <x:c r="K150" s="7" t="str">
        <x:v>鼠标垫推广跟进表格-2025.08.16.xlsx / 2026.08.07梳理ST关键词 行5</x:v>
      </x:c>
    </x:row>
    <x:row r="151" ht="30" customHeight="1">
      <x:c r="A151" s="7" t="str">
        <x:v>K146</x:v>
      </x:c>
      <x:c r="B151" s="7" t="str">
        <x:v>anime gaming mousepad</x:v>
      </x:c>
      <x:c r="C151" s="7" t="str">
        <x:v>动漫风格待验证</x:v>
      </x:c>
      <x:c r="D151" s="7" t="str">
        <x:v>保留待核验</x:v>
      </x:c>
      <x:c r="E151" s="7" t="str">
        <x:v>否</x:v>
      </x:c>
      <x:c r="F151" s="31"/>
      <x:c r="G151" s="31"/>
      <x:c r="H151" s="32" t="str">
        <x:v>无量记录</x:v>
      </x:c>
      <x:c r="I151" s="12"/>
      <x:c r="J151" s="7" t="str">
        <x:v>武士插画不等于特定动漫/授权IP；另作相关性验证</x:v>
      </x:c>
      <x:c r="K151" s="7" t="str">
        <x:v>鼠标垫推广跟进表格-2025.08.16.xlsx / 2026.08.07梳理ST关键词 行6</x:v>
      </x:c>
    </x:row>
    <x:row r="152" ht="30" customHeight="1">
      <x:c r="A152" s="7" t="str">
        <x:v>K147</x:v>
      </x:c>
      <x:c r="B152" s="7" t="str">
        <x:v>anime geschenke</x:v>
      </x:c>
      <x:c r="C152" s="7" t="str">
        <x:v>动漫风格待验证</x:v>
      </x:c>
      <x:c r="D152" s="7" t="str">
        <x:v>保留待核验</x:v>
      </x:c>
      <x:c r="E152" s="7" t="str">
        <x:v>否</x:v>
      </x:c>
      <x:c r="F152" s="31"/>
      <x:c r="G152" s="31" t="n">
        <x:v>183</x:v>
      </x:c>
      <x:c r="H152" s="32" t="str">
        <x:v>周搜索量，日期及来源待核；首条原记录</x:v>
      </x:c>
      <x:c r="I152" s="12"/>
      <x:c r="J152" s="7" t="str">
        <x:v>武士插画不等于特定动漫/授权IP；另作相关性验证</x:v>
      </x:c>
      <x:c r="K152" s="7" t="str">
        <x:v>鼠标垫推广跟进表格-2025.08.16.xlsx / 关键词词库-90 40 行209</x:v>
      </x:c>
    </x:row>
    <x:row r="153" ht="30" customHeight="1">
      <x:c r="A153" s="7" t="str">
        <x:v>K148</x:v>
      </x:c>
      <x:c r="B153" s="7" t="str">
        <x:v>anime girl mauspad</x:v>
      </x:c>
      <x:c r="C153" s="7" t="str">
        <x:v>其他图案</x:v>
      </x:c>
      <x:c r="D153" s="7" t="str">
        <x:v>首轮不投</x:v>
      </x:c>
      <x:c r="E153" s="7" t="str">
        <x:v>否</x:v>
      </x:c>
      <x:c r="F153" s="31"/>
      <x:c r="G153" s="31"/>
      <x:c r="H153" s="32" t="str">
        <x:v>无量记录</x:v>
      </x:c>
      <x:c r="I153" s="12"/>
      <x:c r="J153" s="7" t="str">
        <x:v>其他图案/人物意图，不适合单月下武士ASIN</x:v>
      </x:c>
      <x:c r="K153" s="7" t="str">
        <x:v>鼠标垫推广跟进表格-2025.08.16.xlsx / 2026.08.07梳理ST关键词 行10</x:v>
      </x:c>
    </x:row>
    <x:row r="154" ht="30" customHeight="1">
      <x:c r="A154" s="7" t="str">
        <x:v>K149</x:v>
      </x:c>
      <x:c r="B154" s="7" t="str">
        <x:v>anime girl mousepad</x:v>
      </x:c>
      <x:c r="C154" s="7" t="str">
        <x:v>其他图案</x:v>
      </x:c>
      <x:c r="D154" s="7" t="str">
        <x:v>首轮不投</x:v>
      </x:c>
      <x:c r="E154" s="7" t="str">
        <x:v>否</x:v>
      </x:c>
      <x:c r="F154" s="31"/>
      <x:c r="G154" s="31"/>
      <x:c r="H154" s="32" t="str">
        <x:v>无量记录</x:v>
      </x:c>
      <x:c r="I154" s="12"/>
      <x:c r="J154" s="7" t="str">
        <x:v>其他图案/人物意图，不适合单月下武士ASIN</x:v>
      </x:c>
      <x:c r="K154" s="7" t="str">
        <x:v>鼠标垫推广跟进表格-2025.08.16.xlsx / 2026.08.07梳理ST关键词 行11</x:v>
      </x:c>
    </x:row>
    <x:row r="155" ht="30" customHeight="1">
      <x:c r="A155" s="7" t="str">
        <x:v>K150</x:v>
      </x:c>
      <x:c r="B155" s="7" t="str">
        <x:v>anime mauspad</x:v>
      </x:c>
      <x:c r="C155" s="7" t="str">
        <x:v>动漫风格待验证</x:v>
      </x:c>
      <x:c r="D155" s="7" t="str">
        <x:v>保留待核验</x:v>
      </x:c>
      <x:c r="E155" s="7" t="str">
        <x:v>否</x:v>
      </x:c>
      <x:c r="F155" s="31"/>
      <x:c r="G155" s="31" t="n">
        <x:v>219</x:v>
      </x:c>
      <x:c r="H155" s="32" t="str">
        <x:v>周搜索量，日期及来源待核；首条原记录</x:v>
      </x:c>
      <x:c r="I155" s="12"/>
      <x:c r="J155" s="7" t="str">
        <x:v>武士插画不等于特定动漫/授权IP；另作相关性验证</x:v>
      </x:c>
      <x:c r="K155" s="7" t="str">
        <x:v>鼠标垫推广跟进表格-2025.08.16.xlsx / 关键词词库-90 40 行191</x:v>
      </x:c>
    </x:row>
    <x:row r="156" ht="30" customHeight="1">
      <x:c r="A156" s="7" t="str">
        <x:v>K151</x:v>
      </x:c>
      <x:c r="B156" s="7" t="str">
        <x:v>anime mauspad weiss</x:v>
      </x:c>
      <x:c r="C156" s="7" t="str">
        <x:v>其他颜色</x:v>
      </x:c>
      <x:c r="D156" s="7" t="str">
        <x:v>首轮不投</x:v>
      </x:c>
      <x:c r="E156" s="7" t="str">
        <x:v>否</x:v>
      </x:c>
      <x:c r="F156" s="31"/>
      <x:c r="G156" s="31"/>
      <x:c r="H156" s="32" t="str">
        <x:v>无量记录</x:v>
      </x:c>
      <x:c r="I156" s="12"/>
      <x:c r="J156" s="7" t="str">
        <x:v>非本品黑灰红粉主色；不把所有白色相关短词统一否定</x:v>
      </x:c>
      <x:c r="K156" s="7" t="str">
        <x:v>鼠标垫推广跟进表格-2025.08.16.xlsx / 2026.08.07梳理ST关键词 行12</x:v>
      </x:c>
    </x:row>
    <x:row r="157" ht="30" customHeight="1">
      <x:c r="A157" s="7" t="str">
        <x:v>K152</x:v>
      </x:c>
      <x:c r="B157" s="7" t="str">
        <x:v>anime mauspad xxl</x:v>
      </x:c>
      <x:c r="C157" s="7" t="str">
        <x:v>动漫风格待验证</x:v>
      </x:c>
      <x:c r="D157" s="7" t="str">
        <x:v>保留待核验</x:v>
      </x:c>
      <x:c r="E157" s="7" t="str">
        <x:v>否</x:v>
      </x:c>
      <x:c r="F157" s="31"/>
      <x:c r="G157" s="31"/>
      <x:c r="H157" s="32" t="str">
        <x:v>无量记录</x:v>
      </x:c>
      <x:c r="I157" s="12"/>
      <x:c r="J157" s="7" t="str">
        <x:v>武士插画不等于特定动漫/授权IP；另作相关性验证</x:v>
      </x:c>
      <x:c r="K157" s="7" t="str">
        <x:v>鼠标垫推广跟进表格-2025.08.16.xlsx / 2026.08.07梳理ST关键词 行13</x:v>
      </x:c>
    </x:row>
    <x:row r="158" ht="30" customHeight="1">
      <x:c r="A158" s="7" t="str">
        <x:v>K153</x:v>
      </x:c>
      <x:c r="B158" s="7" t="str">
        <x:v>anime mousepad</x:v>
      </x:c>
      <x:c r="C158" s="7" t="str">
        <x:v>动漫风格待验证</x:v>
      </x:c>
      <x:c r="D158" s="7" t="str">
        <x:v>保留待核验</x:v>
      </x:c>
      <x:c r="E158" s="7" t="str">
        <x:v>否</x:v>
      </x:c>
      <x:c r="F158" s="31"/>
      <x:c r="G158" s="31" t="n">
        <x:v>436</x:v>
      </x:c>
      <x:c r="H158" s="32" t="str">
        <x:v>周搜索量，日期及来源待核；首条原记录</x:v>
      </x:c>
      <x:c r="I158" s="12"/>
      <x:c r="J158" s="7" t="str">
        <x:v>武士插画不等于特定动漫/授权IP；另作相关性验证</x:v>
      </x:c>
      <x:c r="K158" s="7" t="str">
        <x:v>鼠标垫推广跟进表格-2025.08.16.xlsx / 关键词词库-90 40 行182
鼠标垫推广跟进表格-2025.08.16.xlsx / 2026.08.07梳理ST关键词 行14</x:v>
      </x:c>
    </x:row>
    <x:row r="159" ht="30" customHeight="1">
      <x:c r="A159" s="7" t="str">
        <x:v>K154</x:v>
      </x:c>
      <x:c r="B159" s="7" t="str">
        <x:v>anime mousepad black xxl</x:v>
      </x:c>
      <x:c r="C159" s="7" t="str">
        <x:v>动漫风格待验证</x:v>
      </x:c>
      <x:c r="D159" s="7" t="str">
        <x:v>保留待核验</x:v>
      </x:c>
      <x:c r="E159" s="7" t="str">
        <x:v>否</x:v>
      </x:c>
      <x:c r="F159" s="31"/>
      <x:c r="G159" s="31"/>
      <x:c r="H159" s="32" t="str">
        <x:v>无量记录</x:v>
      </x:c>
      <x:c r="I159" s="12"/>
      <x:c r="J159" s="7" t="str">
        <x:v>武士插画不等于特定动漫/授权IP；另作相关性验证</x:v>
      </x:c>
      <x:c r="K159" s="7" t="str">
        <x:v>鼠标垫推广跟进表格-2025.08.16.xlsx / 2026.08.07梳理ST关键词 行18</x:v>
      </x:c>
    </x:row>
    <x:row r="160" ht="30" customHeight="1">
      <x:c r="A160" s="7" t="str">
        <x:v>K155</x:v>
      </x:c>
      <x:c r="B160" s="7" t="str">
        <x:v>anime mousepad grün</x:v>
      </x:c>
      <x:c r="C160" s="7" t="str">
        <x:v>其他颜色</x:v>
      </x:c>
      <x:c r="D160" s="7" t="str">
        <x:v>首轮不投</x:v>
      </x:c>
      <x:c r="E160" s="7" t="str">
        <x:v>否</x:v>
      </x:c>
      <x:c r="F160" s="31"/>
      <x:c r="G160" s="31"/>
      <x:c r="H160" s="32" t="str">
        <x:v>无量记录</x:v>
      </x:c>
      <x:c r="I160" s="12"/>
      <x:c r="J160" s="7" t="str">
        <x:v>非本品黑灰红粉主色；不把所有白色相关短词统一否定</x:v>
      </x:c>
      <x:c r="K160" s="7" t="str">
        <x:v>鼠标垫推广跟进表格-2025.08.16.xlsx / 2026.08.07梳理ST关键词 行19</x:v>
      </x:c>
    </x:row>
    <x:row r="161" ht="30" customHeight="1">
      <x:c r="A161" s="7" t="str">
        <x:v>K156</x:v>
      </x:c>
      <x:c r="B161" s="7" t="str">
        <x:v>anime mousepad xxl</x:v>
      </x:c>
      <x:c r="C161" s="7" t="str">
        <x:v>动漫风格待验证</x:v>
      </x:c>
      <x:c r="D161" s="7" t="str">
        <x:v>保留待核验</x:v>
      </x:c>
      <x:c r="E161" s="7" t="str">
        <x:v>否</x:v>
      </x:c>
      <x:c r="F161" s="31"/>
      <x:c r="G161" s="31"/>
      <x:c r="H161" s="32" t="str">
        <x:v>无量记录</x:v>
      </x:c>
      <x:c r="I161" s="12"/>
      <x:c r="J161" s="7" t="str">
        <x:v>武士插画不等于特定动漫/授权IP；另作相关性验证</x:v>
      </x:c>
      <x:c r="K161" s="7" t="str">
        <x:v>鼠标垫推广跟进表格-2025.08.16.xlsx / 关键词词库-90 40 行84,188
鼠标垫推广跟进表格-2025.08.16.xlsx / 2026.08.07梳理ST关键词 行15</x:v>
      </x:c>
    </x:row>
    <x:row r="162" ht="30" customHeight="1">
      <x:c r="A162" s="7" t="str">
        <x:v>K157</x:v>
      </x:c>
      <x:c r="B162" s="7" t="str">
        <x:v>artisan mousepad</x:v>
      </x:c>
      <x:c r="C162" s="7" t="str">
        <x:v>竞品品牌</x:v>
      </x:c>
      <x:c r="D162" s="7" t="str">
        <x:v>保留待核验</x:v>
      </x:c>
      <x:c r="E162" s="7" t="str">
        <x:v>否</x:v>
      </x:c>
      <x:c r="F162" s="31"/>
      <x:c r="G162" s="31" t="n">
        <x:v>718</x:v>
      </x:c>
      <x:c r="H162" s="32" t="str">
        <x:v>周搜索量，日期及来源待核；首条原记录</x:v>
      </x:c>
      <x:c r="I162" s="12"/>
      <x:c r="J162" s="7" t="str">
        <x:v>首轮不验证竞品品牌意图；可另设专项，不能当自有品牌</x:v>
      </x:c>
      <x:c r="K162" s="7" t="str">
        <x:v>鼠标垫推广跟进表格-2025.08.16.xlsx / 关键词词库-90 40 行131
鼠标垫推广跟进表格-2025.08.16.xlsx / 关键词词库-小尺寸加护托 行73</x:v>
      </x:c>
    </x:row>
    <x:row r="163" ht="30" customHeight="1">
      <x:c r="A163" s="7" t="str">
        <x:v>K158</x:v>
      </x:c>
      <x:c r="B163" s="7" t="str">
        <x:v>asus mauspad</x:v>
      </x:c>
      <x:c r="C163" s="7" t="str">
        <x:v>竞品品牌</x:v>
      </x:c>
      <x:c r="D163" s="7" t="str">
        <x:v>保留待核验</x:v>
      </x:c>
      <x:c r="E163" s="7" t="str">
        <x:v>否</x:v>
      </x:c>
      <x:c r="F163" s="31"/>
      <x:c r="G163" s="31" t="n">
        <x:v>309</x:v>
      </x:c>
      <x:c r="H163" s="32" t="str">
        <x:v>周搜索量，日期及来源待核；首条原记录</x:v>
      </x:c>
      <x:c r="I163" s="12"/>
      <x:c r="J163" s="7" t="str">
        <x:v>首轮不验证竞品品牌意图；可另设专项，不能当自有品牌</x:v>
      </x:c>
      <x:c r="K163" s="7" t="str">
        <x:v>鼠标垫推广跟进表格-2025.08.16.xlsx / 关键词词库-90 40 行122
鼠标垫推广跟进表格-2025.08.16.xlsx / 关键词词库-小尺寸加护托 行71</x:v>
      </x:c>
    </x:row>
    <x:row r="164" ht="30" customHeight="1">
      <x:c r="A164" s="7" t="str">
        <x:v>K159</x:v>
      </x:c>
      <x:c r="B164" s="7" t="str">
        <x:v>asus mousepad</x:v>
      </x:c>
      <x:c r="C164" s="7" t="str">
        <x:v>竞品品牌</x:v>
      </x:c>
      <x:c r="D164" s="7" t="str">
        <x:v>保留待核验</x:v>
      </x:c>
      <x:c r="E164" s="7" t="str">
        <x:v>否</x:v>
      </x:c>
      <x:c r="F164" s="31"/>
      <x:c r="G164" s="31"/>
      <x:c r="H164" s="32" t="str">
        <x:v>无量记录</x:v>
      </x:c>
      <x:c r="I164" s="12"/>
      <x:c r="J164" s="7" t="str">
        <x:v>首轮不验证竞品品牌意图；可另设专项，不能当自有品牌</x:v>
      </x:c>
      <x:c r="K164" s="7" t="str">
        <x:v>鼠标垫推广跟进表格-2025.08.16.xlsx / 关键词词库-90 40 行140</x:v>
      </x:c>
    </x:row>
    <x:row r="165" ht="30" customHeight="1">
      <x:c r="A165" s="7" t="str">
        <x:v>K160</x:v>
      </x:c>
      <x:c r="B165" s="7" t="str">
        <x:v>asus rog mauspad</x:v>
      </x:c>
      <x:c r="C165" s="7" t="str">
        <x:v>竞品品牌</x:v>
      </x:c>
      <x:c r="D165" s="7" t="str">
        <x:v>保留待核验</x:v>
      </x:c>
      <x:c r="E165" s="7" t="str">
        <x:v>否</x:v>
      </x:c>
      <x:c r="F165" s="31"/>
      <x:c r="G165" s="31" t="n">
        <x:v>125</x:v>
      </x:c>
      <x:c r="H165" s="32" t="str">
        <x:v>周搜索量，日期及来源待核；首条原记录</x:v>
      </x:c>
      <x:c r="I165" s="12"/>
      <x:c r="J165" s="7" t="str">
        <x:v>首轮不验证竞品品牌意图；可另设专项，不能当自有品牌</x:v>
      </x:c>
      <x:c r="K165" s="7" t="str">
        <x:v>鼠标垫推广跟进表格-2025.08.16.xlsx / 关键词词库-90 40 行130</x:v>
      </x:c>
    </x:row>
    <x:row r="166" ht="30" customHeight="1">
      <x:c r="A166" s="7" t="str">
        <x:v>K161</x:v>
      </x:c>
      <x:c r="B166" s="7" t="str">
        <x:v>asus rog mousepad</x:v>
      </x:c>
      <x:c r="C166" s="7" t="str">
        <x:v>竞品品牌</x:v>
      </x:c>
      <x:c r="D166" s="7" t="str">
        <x:v>保留待核验</x:v>
      </x:c>
      <x:c r="E166" s="7" t="str">
        <x:v>否</x:v>
      </x:c>
      <x:c r="F166" s="31"/>
      <x:c r="G166" s="31"/>
      <x:c r="H166" s="32" t="str">
        <x:v>无量记录</x:v>
      </x:c>
      <x:c r="I166" s="12"/>
      <x:c r="J166" s="7" t="str">
        <x:v>首轮不验证竞品品牌意图；可另设专项，不能当自有品牌</x:v>
      </x:c>
      <x:c r="K166" s="7" t="str">
        <x:v>鼠标垫推广跟进表格-2025.08.16.xlsx / 关键词词库-90 40 行143</x:v>
      </x:c>
    </x:row>
    <x:row r="167" ht="30" customHeight="1">
      <x:c r="A167" s="7" t="str">
        <x:v>K162</x:v>
      </x:c>
      <x:c r="B167" s="7" t="str">
        <x:v>attack shark mousepad</x:v>
      </x:c>
      <x:c r="C167" s="7" t="str">
        <x:v>竞品品牌</x:v>
      </x:c>
      <x:c r="D167" s="7" t="str">
        <x:v>保留待核验</x:v>
      </x:c>
      <x:c r="E167" s="7" t="str">
        <x:v>否</x:v>
      </x:c>
      <x:c r="F167" s="31"/>
      <x:c r="G167" s="31" t="n">
        <x:v>83</x:v>
      </x:c>
      <x:c r="H167" s="32" t="str">
        <x:v>周搜索量，日期及来源待核；首条原记录</x:v>
      </x:c>
      <x:c r="I167" s="12"/>
      <x:c r="J167" s="7" t="str">
        <x:v>首轮不验证竞品品牌意图；可另设专项，不能当自有品牌</x:v>
      </x:c>
      <x:c r="K167" s="7" t="str">
        <x:v>鼠标垫推广跟进表格-2025.08.16.xlsx / 关键词词库-90 40 行133</x:v>
      </x:c>
    </x:row>
    <x:row r="168" ht="30" customHeight="1">
      <x:c r="A168" s="7" t="str">
        <x:v>K163</x:v>
      </x:c>
      <x:c r="B168" s="7" t="str">
        <x:v>best smooth mousepad 900x400</x:v>
      </x:c>
      <x:c r="C168" s="7" t="str">
        <x:v>900×400精确尺寸</x:v>
      </x:c>
      <x:c r="D168" s="7" t="str">
        <x:v>候选</x:v>
      </x:c>
      <x:c r="E168" s="7" t="str">
        <x:v>否</x:v>
      </x:c>
      <x:c r="F168" s="31"/>
      <x:c r="G168" s="31"/>
      <x:c r="H168" s="32" t="str">
        <x:v>无量记录</x:v>
      </x:c>
      <x:c r="I168" s="12"/>
      <x:c r="J168" s="7" t="str">
        <x:v>与本轮实际尺寸一致</x:v>
      </x:c>
      <x:c r="K168" s="7" t="str">
        <x:v>鼠标垫推广跟进表格-2025.08.16.xlsx / 2026.08.07梳理ST关键词 行79</x:v>
      </x:c>
    </x:row>
    <x:row r="169" ht="30" customHeight="1">
      <x:c r="A169" s="7" t="str">
        <x:v>K164</x:v>
      </x:c>
      <x:c r="B169" s="7" t="str">
        <x:v>big japan cherry mouse pad</x:v>
      </x:c>
      <x:c r="C169" s="7" t="str">
        <x:v>其他图案</x:v>
      </x:c>
      <x:c r="D169" s="7" t="str">
        <x:v>首轮不投</x:v>
      </x:c>
      <x:c r="E169" s="7" t="str">
        <x:v>否</x:v>
      </x:c>
      <x:c r="F169" s="31"/>
      <x:c r="G169" s="31"/>
      <x:c r="H169" s="32" t="str">
        <x:v>无量记录</x:v>
      </x:c>
      <x:c r="I169" s="12"/>
      <x:c r="J169" s="7" t="str">
        <x:v>其他图案/人物意图，不适合单月下武士ASIN</x:v>
      </x:c>
      <x:c r="K169" s="7" t="str">
        <x:v>鼠标垫推广跟进表格-2025.08.16.xlsx / 2026.08.07梳理ST关键词 行76</x:v>
      </x:c>
    </x:row>
    <x:row r="170" ht="30" customHeight="1">
      <x:c r="A170" s="7" t="str">
        <x:v>K165</x:v>
      </x:c>
      <x:c r="B170" s="7" t="str">
        <x:v>big mouse pad</x:v>
      </x:c>
      <x:c r="C170" s="7" t="str">
        <x:v>大尺寸</x:v>
      </x:c>
      <x:c r="D170" s="7" t="str">
        <x:v>候选</x:v>
      </x:c>
      <x:c r="E170" s="7" t="str">
        <x:v>否</x:v>
      </x:c>
      <x:c r="F170" s="31"/>
      <x:c r="G170" s="31"/>
      <x:c r="H170" s="32" t="str">
        <x:v>无量记录</x:v>
      </x:c>
      <x:c r="I170" s="12"/>
      <x:c r="J170" s="7" t="str">
        <x:v>大桌垫相关；超大规格用词不替代明确尺寸</x:v>
      </x:c>
      <x:c r="K170" s="7" t="str">
        <x:v>鼠标垫推广跟进表格-2025.08.16.xlsx / 2026.08.07梳理ST关键词 行77</x:v>
      </x:c>
    </x:row>
    <x:row r="171" ht="30" customHeight="1">
      <x:c r="A171" s="7" t="str">
        <x:v>K166</x:v>
      </x:c>
      <x:c r="B171" s="7" t="str">
        <x:v>big mousepad white pattern</x:v>
      </x:c>
      <x:c r="C171" s="7" t="str">
        <x:v>其他颜色</x:v>
      </x:c>
      <x:c r="D171" s="7" t="str">
        <x:v>首轮不投</x:v>
      </x:c>
      <x:c r="E171" s="7" t="str">
        <x:v>否</x:v>
      </x:c>
      <x:c r="F171" s="31"/>
      <x:c r="G171" s="31"/>
      <x:c r="H171" s="32" t="str">
        <x:v>无量记录</x:v>
      </x:c>
      <x:c r="I171" s="12"/>
      <x:c r="J171" s="7" t="str">
        <x:v>非本品黑灰红粉主色；不把所有白色相关短词统一否定</x:v>
      </x:c>
      <x:c r="K171" s="7" t="str">
        <x:v>鼠标垫推广跟进表格-2025.08.16.xlsx / 2026.08.07梳理ST关键词 行78</x:v>
      </x:c>
    </x:row>
    <x:row r="172" ht="30" customHeight="1">
      <x:c r="A172" s="7" t="str">
        <x:v>K167</x:v>
      </x:c>
      <x:c r="B172" s="7" t="str">
        <x:v>black and white mousepad</x:v>
      </x:c>
      <x:c r="C172" s="7" t="str">
        <x:v>其他颜色</x:v>
      </x:c>
      <x:c r="D172" s="7" t="str">
        <x:v>首轮不投</x:v>
      </x:c>
      <x:c r="E172" s="7" t="str">
        <x:v>否</x:v>
      </x:c>
      <x:c r="F172" s="31"/>
      <x:c r="G172" s="31"/>
      <x:c r="H172" s="32" t="str">
        <x:v>无量记录</x:v>
      </x:c>
      <x:c r="I172" s="12"/>
      <x:c r="J172" s="7" t="str">
        <x:v>非本品黑灰红粉主色；不把所有白色相关短词统一否定</x:v>
      </x:c>
      <x:c r="K172" s="7" t="str">
        <x:v>鼠标垫推广跟进表格-2025.08.16.xlsx / 2026.08.07梳理ST关键词 行8</x:v>
      </x:c>
    </x:row>
    <x:row r="173" ht="30" customHeight="1">
      <x:c r="A173" s="7" t="str">
        <x:v>K168</x:v>
      </x:c>
      <x:c r="B173" s="7" t="str">
        <x:v>black gaming mouse pad</x:v>
      </x:c>
      <x:c r="C173" s="7" t="str">
        <x:v>游戏场景</x:v>
      </x:c>
      <x:c r="D173" s="7" t="str">
        <x:v>候选</x:v>
      </x:c>
      <x:c r="E173" s="7" t="str">
        <x:v>否</x:v>
      </x:c>
      <x:c r="F173" s="31"/>
      <x:c r="G173" s="31"/>
      <x:c r="H173" s="32" t="str">
        <x:v>无量记录</x:v>
      </x:c>
      <x:c r="I173" s="12"/>
      <x:c r="J173" s="7" t="str">
        <x:v>游戏使用场景，不表示已验证专业性能</x:v>
      </x:c>
      <x:c r="K173" s="7" t="str">
        <x:v>鼠标垫推广跟进表格-2025.08.16.xlsx / 2026.08.07梳理ST关键词 行9</x:v>
      </x:c>
    </x:row>
    <x:row r="174" ht="30" customHeight="1">
      <x:c r="A174" s="7" t="str">
        <x:v>K169</x:v>
      </x:c>
      <x:c r="B174" s="7" t="str">
        <x:v>black mauspad</x:v>
      </x:c>
      <x:c r="C174" s="7" t="str">
        <x:v>黑灰颜色</x:v>
      </x:c>
      <x:c r="D174" s="7" t="str">
        <x:v>低优先级候选</x:v>
      </x:c>
      <x:c r="E174" s="7" t="str">
        <x:v>否</x:v>
      </x:c>
      <x:c r="F174" s="31"/>
      <x:c r="G174" s="31"/>
      <x:c r="H174" s="32" t="str">
        <x:v>无量记录</x:v>
      </x:c>
      <x:c r="I174" s="12"/>
      <x:c r="J174" s="7" t="str">
        <x:v>主色相关但图案含红粉，不主张纯黑</x:v>
      </x:c>
      <x:c r="K174" s="7" t="str">
        <x:v>鼠标垫推广跟进表格-2025.08.16.xlsx / 2026.08.07梳理ST关键词 行10</x:v>
      </x:c>
    </x:row>
    <x:row r="175" ht="30" customHeight="1">
      <x:c r="A175" s="7" t="str">
        <x:v>K170</x:v>
      </x:c>
      <x:c r="B175" s="7" t="str">
        <x:v>black mouse pad</x:v>
      </x:c>
      <x:c r="C175" s="7" t="str">
        <x:v>黑灰颜色</x:v>
      </x:c>
      <x:c r="D175" s="7" t="str">
        <x:v>低优先级候选</x:v>
      </x:c>
      <x:c r="E175" s="7" t="str">
        <x:v>否</x:v>
      </x:c>
      <x:c r="F175" s="31"/>
      <x:c r="G175" s="31"/>
      <x:c r="H175" s="32" t="str">
        <x:v>无量记录</x:v>
      </x:c>
      <x:c r="I175" s="12"/>
      <x:c r="J175" s="7" t="str">
        <x:v>主色相关但图案含红粉，不主张纯黑</x:v>
      </x:c>
      <x:c r="K175" s="7" t="str">
        <x:v>鼠标垫推广跟进表格-2025.08.16.xlsx / 2026.08.07梳理ST关键词 行11</x:v>
      </x:c>
    </x:row>
    <x:row r="176" ht="30" customHeight="1">
      <x:c r="A176" s="7" t="str">
        <x:v>K171</x:v>
      </x:c>
      <x:c r="B176" s="7" t="str">
        <x:v>black mousepad</x:v>
      </x:c>
      <x:c r="C176" s="7" t="str">
        <x:v>黑灰颜色</x:v>
      </x:c>
      <x:c r="D176" s="7" t="str">
        <x:v>低优先级候选</x:v>
      </x:c>
      <x:c r="E176" s="7" t="str">
        <x:v>否</x:v>
      </x:c>
      <x:c r="F176" s="31"/>
      <x:c r="G176" s="31"/>
      <x:c r="H176" s="32" t="str">
        <x:v>无量记录</x:v>
      </x:c>
      <x:c r="I176" s="12"/>
      <x:c r="J176" s="7" t="str">
        <x:v>主色相关但图案含红粉，不主张纯黑</x:v>
      </x:c>
      <x:c r="K176" s="7" t="str">
        <x:v>鼠标垫推广跟进表格-2025.08.16.xlsx / 关键词词库-90 40 行168</x:v>
      </x:c>
    </x:row>
    <x:row r="177" ht="30" customHeight="1">
      <x:c r="A177" s="7" t="str">
        <x:v>K172</x:v>
      </x:c>
      <x:c r="B177" s="7" t="str">
        <x:v>black mousepad 900x400</x:v>
      </x:c>
      <x:c r="C177" s="7" t="str">
        <x:v>900×400精确尺寸</x:v>
      </x:c>
      <x:c r="D177" s="7" t="str">
        <x:v>候选</x:v>
      </x:c>
      <x:c r="E177" s="7" t="str">
        <x:v>否</x:v>
      </x:c>
      <x:c r="F177" s="31"/>
      <x:c r="G177" s="31"/>
      <x:c r="H177" s="32" t="str">
        <x:v>无量记录</x:v>
      </x:c>
      <x:c r="I177" s="12"/>
      <x:c r="J177" s="7" t="str">
        <x:v>与本轮实际尺寸一致</x:v>
      </x:c>
      <x:c r="K177" s="7" t="str">
        <x:v>鼠标垫推广跟进表格-2025.08.16.xlsx / 2026.08.07梳理ST关键词 行12</x:v>
      </x:c>
    </x:row>
    <x:row r="178" ht="30" customHeight="1">
      <x:c r="A178" s="7" t="str">
        <x:v>K173</x:v>
      </x:c>
      <x:c r="B178" s="7" t="str">
        <x:v>black mousepad xxl</x:v>
      </x:c>
      <x:c r="C178" s="7" t="str">
        <x:v>大尺寸</x:v>
      </x:c>
      <x:c r="D178" s="7" t="str">
        <x:v>候选</x:v>
      </x:c>
      <x:c r="E178" s="7" t="str">
        <x:v>否</x:v>
      </x:c>
      <x:c r="F178" s="31"/>
      <x:c r="G178" s="31"/>
      <x:c r="H178" s="32" t="str">
        <x:v>无量记录</x:v>
      </x:c>
      <x:c r="I178" s="12"/>
      <x:c r="J178" s="7" t="str">
        <x:v>大桌垫相关；超大规格用词不替代明确尺寸</x:v>
      </x:c>
      <x:c r="K178" s="7" t="str">
        <x:v>鼠标垫推广跟进表格-2025.08.16.xlsx / 2026.08.07梳理ST关键词 行13</x:v>
      </x:c>
    </x:row>
    <x:row r="179" ht="30" customHeight="1">
      <x:c r="A179" s="7" t="str">
        <x:v>K174</x:v>
      </x:c>
      <x:c r="B179" s="7" t="str">
        <x:v>black mousepad xxl anime</x:v>
      </x:c>
      <x:c r="C179" s="7" t="str">
        <x:v>动漫风格待验证</x:v>
      </x:c>
      <x:c r="D179" s="7" t="str">
        <x:v>保留待核验</x:v>
      </x:c>
      <x:c r="E179" s="7" t="str">
        <x:v>否</x:v>
      </x:c>
      <x:c r="F179" s="31"/>
      <x:c r="G179" s="31"/>
      <x:c r="H179" s="32" t="str">
        <x:v>无量记录</x:v>
      </x:c>
      <x:c r="I179" s="12"/>
      <x:c r="J179" s="7" t="str">
        <x:v>武士插画不等于特定动漫/授权IP；另作相关性验证</x:v>
      </x:c>
      <x:c r="K179" s="7" t="str">
        <x:v>鼠标垫推广跟进表格-2025.08.16.xlsx / 2026.08.07梳理ST关键词 行16</x:v>
      </x:c>
    </x:row>
    <x:row r="180" ht="30" customHeight="1">
      <x:c r="A180" s="7" t="str">
        <x:v>K175</x:v>
      </x:c>
      <x:c r="B180" s="7" t="str">
        <x:v>black sakura mauspad</x:v>
      </x:c>
      <x:c r="C180" s="7" t="str">
        <x:v>其他图案</x:v>
      </x:c>
      <x:c r="D180" s="7" t="str">
        <x:v>首轮不投</x:v>
      </x:c>
      <x:c r="E180" s="7" t="str">
        <x:v>否</x:v>
      </x:c>
      <x:c r="F180" s="31"/>
      <x:c r="G180" s="31"/>
      <x:c r="H180" s="32" t="str">
        <x:v>无量记录</x:v>
      </x:c>
      <x:c r="I180" s="12"/>
      <x:c r="J180" s="7" t="str">
        <x:v>其他图案/人物意图，不适合单月下武士ASIN</x:v>
      </x:c>
      <x:c r="K180" s="7" t="str">
        <x:v>鼠标垫推广跟进表格-2025.08.16.xlsx / 2026.08.07梳理ST关键词 行17</x:v>
      </x:c>
    </x:row>
    <x:row r="181" ht="30" customHeight="1">
      <x:c r="A181" s="7" t="str">
        <x:v>K176</x:v>
      </x:c>
      <x:c r="B181" s="7" t="str">
        <x:v>blaues mauspad</x:v>
      </x:c>
      <x:c r="C181" s="7" t="str">
        <x:v>其他颜色</x:v>
      </x:c>
      <x:c r="D181" s="7" t="str">
        <x:v>首轮不投</x:v>
      </x:c>
      <x:c r="E181" s="7" t="str">
        <x:v>否</x:v>
      </x:c>
      <x:c r="F181" s="31"/>
      <x:c r="G181" s="31"/>
      <x:c r="H181" s="32" t="str">
        <x:v>无量记录</x:v>
      </x:c>
      <x:c r="I181" s="12"/>
      <x:c r="J181" s="7" t="str">
        <x:v>非本品黑灰红粉主色；不把所有白色相关短词统一否定</x:v>
      </x:c>
      <x:c r="K181" s="7" t="str">
        <x:v>鼠标垫推广跟进表格-2025.08.16.xlsx / 2026.08.07梳理ST关键词 行14</x:v>
      </x:c>
    </x:row>
    <x:row r="182" ht="30" customHeight="1">
      <x:c r="A182" s="7" t="str">
        <x:v>K177</x:v>
      </x:c>
      <x:c r="B182" s="7" t="str">
        <x:v>blaues mauspad mit mustern</x:v>
      </x:c>
      <x:c r="C182" s="7" t="str">
        <x:v>其他颜色</x:v>
      </x:c>
      <x:c r="D182" s="7" t="str">
        <x:v>首轮不投</x:v>
      </x:c>
      <x:c r="E182" s="7" t="str">
        <x:v>否</x:v>
      </x:c>
      <x:c r="F182" s="31"/>
      <x:c r="G182" s="31"/>
      <x:c r="H182" s="32" t="str">
        <x:v>无量记录</x:v>
      </x:c>
      <x:c r="I182" s="12"/>
      <x:c r="J182" s="7" t="str">
        <x:v>非本品黑灰红粉主色；不把所有白色相关短词统一否定</x:v>
      </x:c>
      <x:c r="K182" s="7" t="str">
        <x:v>鼠标垫推广跟进表格-2025.08.16.xlsx / 2026.08.07梳理ST关键词 行18</x:v>
      </x:c>
    </x:row>
    <x:row r="183" ht="30" customHeight="1">
      <x:c r="A183" s="7" t="str">
        <x:v>K178</x:v>
      </x:c>
      <x:c r="B183" s="7" t="str">
        <x:v>büro mauspad xxl</x:v>
      </x:c>
      <x:c r="C183" s="7" t="str">
        <x:v>大尺寸</x:v>
      </x:c>
      <x:c r="D183" s="7" t="str">
        <x:v>候选</x:v>
      </x:c>
      <x:c r="E183" s="7" t="str">
        <x:v>否</x:v>
      </x:c>
      <x:c r="F183" s="31"/>
      <x:c r="G183" s="31"/>
      <x:c r="H183" s="32" t="str">
        <x:v>无量记录</x:v>
      </x:c>
      <x:c r="I183" s="12"/>
      <x:c r="J183" s="7" t="str">
        <x:v>大桌垫相关；超大规格用词不替代明确尺寸</x:v>
      </x:c>
      <x:c r="K183" s="7" t="str">
        <x:v>鼠标垫推广跟进表格-2025.08.16.xlsx / 2026.08.07梳理ST关键词 行19</x:v>
      </x:c>
    </x:row>
    <x:row r="184" ht="30" customHeight="1">
      <x:c r="A184" s="7" t="str">
        <x:v>K179</x:v>
      </x:c>
      <x:c r="B184" s="7" t="str">
        <x:v>büro mauspad xxl 900 x 400</x:v>
      </x:c>
      <x:c r="C184" s="7" t="str">
        <x:v>900×400精确尺寸</x:v>
      </x:c>
      <x:c r="D184" s="7" t="str">
        <x:v>候选</x:v>
      </x:c>
      <x:c r="E184" s="7" t="str">
        <x:v>否</x:v>
      </x:c>
      <x:c r="F184" s="31"/>
      <x:c r="G184" s="31"/>
      <x:c r="H184" s="32" t="str">
        <x:v>无量记录</x:v>
      </x:c>
      <x:c r="I184" s="12"/>
      <x:c r="J184" s="7" t="str">
        <x:v>与本轮实际尺寸一致</x:v>
      </x:c>
      <x:c r="K184" s="7" t="str">
        <x:v>鼠标垫推广跟进表格-2025.08.16.xlsx / 2026.08.07梳理ST关键词 行80</x:v>
      </x:c>
    </x:row>
    <x:row r="185" ht="30" customHeight="1">
      <x:c r="A185" s="7" t="str">
        <x:v>K180</x:v>
      </x:c>
      <x:c r="B185" s="7" t="str">
        <x:v>chinese white mousepad</x:v>
      </x:c>
      <x:c r="C185" s="7" t="str">
        <x:v>其他颜色</x:v>
      </x:c>
      <x:c r="D185" s="7" t="str">
        <x:v>首轮不投</x:v>
      </x:c>
      <x:c r="E185" s="7" t="str">
        <x:v>否</x:v>
      </x:c>
      <x:c r="F185" s="31"/>
      <x:c r="G185" s="31"/>
      <x:c r="H185" s="32" t="str">
        <x:v>无量记录</x:v>
      </x:c>
      <x:c r="I185" s="12"/>
      <x:c r="J185" s="7" t="str">
        <x:v>非本品黑灰红粉主色；不把所有白色相关短词统一否定</x:v>
      </x:c>
      <x:c r="K185" s="7" t="str">
        <x:v>鼠标垫推广跟进表格-2025.08.16.xlsx / 2026.08.07梳理ST关键词 行20</x:v>
      </x:c>
    </x:row>
    <x:row r="186" ht="30" customHeight="1">
      <x:c r="A186" s="7" t="str">
        <x:v>K181</x:v>
      </x:c>
      <x:c r="B186" s="7" t="str">
        <x:v>computer mauspad groß</x:v>
      </x:c>
      <x:c r="C186" s="7" t="str">
        <x:v>大尺寸</x:v>
      </x:c>
      <x:c r="D186" s="7" t="str">
        <x:v>候选</x:v>
      </x:c>
      <x:c r="E186" s="7" t="str">
        <x:v>否</x:v>
      </x:c>
      <x:c r="F186" s="31"/>
      <x:c r="G186" s="31"/>
      <x:c r="H186" s="32" t="str">
        <x:v>无量记录</x:v>
      </x:c>
      <x:c r="I186" s="12"/>
      <x:c r="J186" s="7" t="str">
        <x:v>大桌垫相关；超大规格用词不替代明确尺寸</x:v>
      </x:c>
      <x:c r="K186" s="7" t="str">
        <x:v>鼠标垫推广跟进表格-2025.08.16.xlsx / 2026.08.07梳理ST关键词 行21</x:v>
      </x:c>
    </x:row>
    <x:row r="187" ht="30" customHeight="1">
      <x:c r="A187" s="7" t="str">
        <x:v>K182</x:v>
      </x:c>
      <x:c r="B187" s="7" t="str">
        <x:v>control mauspad xxl</x:v>
      </x:c>
      <x:c r="C187" s="7" t="str">
        <x:v>性能待证实</x:v>
      </x:c>
      <x:c r="D187" s="7" t="str">
        <x:v>保留待核验</x:v>
      </x:c>
      <x:c r="E187" s="7" t="str">
        <x:v>否</x:v>
      </x:c>
      <x:c r="F187" s="31"/>
      <x:c r="G187" s="31"/>
      <x:c r="H187" s="32" t="str">
        <x:v>无量记录</x:v>
      </x:c>
      <x:c r="I187" s="12"/>
      <x:c r="J187" s="7" t="str">
        <x:v>不以竞品标题或评论证明本品性能；投词承诺需另核实</x:v>
      </x:c>
      <x:c r="K187" s="7" t="str">
        <x:v>鼠标垫推广跟进表格-2025.08.16.xlsx / 2026.08.07梳理ST关键词 行22</x:v>
      </x:c>
    </x:row>
    <x:row r="188" ht="30" customHeight="1">
      <x:c r="A188" s="7" t="str">
        <x:v>K183</x:v>
      </x:c>
      <x:c r="B188" s="7" t="str">
        <x:v>cool design mouse pad</x:v>
      </x:c>
      <x:c r="C188" s="7" t="str">
        <x:v>品类或桌面场景</x:v>
      </x:c>
      <x:c r="D188" s="7" t="str">
        <x:v>候选</x:v>
      </x:c>
      <x:c r="E188" s="7" t="str">
        <x:v>否</x:v>
      </x:c>
      <x:c r="F188" s="31"/>
      <x:c r="G188" s="31"/>
      <x:c r="H188" s="32" t="str">
        <x:v>无量记录</x:v>
      </x:c>
      <x:c r="I188" s="12"/>
      <x:c r="J188" s="7" t="str">
        <x:v>品类/桌面使用相关；宽泛桌垫词需小范围测试</x:v>
      </x:c>
      <x:c r="K188" s="7" t="str">
        <x:v>鼠标垫推广跟进表格-2025.08.16.xlsx / 2026.08.07梳理ST关键词 行23</x:v>
      </x:c>
    </x:row>
    <x:row r="189" ht="30" customHeight="1">
      <x:c r="A189" s="7" t="str">
        <x:v>K184</x:v>
      </x:c>
      <x:c r="B189" s="7" t="str">
        <x:v>coole mauspads</x:v>
      </x:c>
      <x:c r="C189" s="7" t="str">
        <x:v>品类或桌面场景</x:v>
      </x:c>
      <x:c r="D189" s="7" t="str">
        <x:v>候选</x:v>
      </x:c>
      <x:c r="E189" s="7" t="str">
        <x:v>否</x:v>
      </x:c>
      <x:c r="F189" s="31"/>
      <x:c r="G189" s="31"/>
      <x:c r="H189" s="32" t="str">
        <x:v>无量记录</x:v>
      </x:c>
      <x:c r="I189" s="12"/>
      <x:c r="J189" s="7" t="str">
        <x:v>品类/桌面使用相关；宽泛桌垫词需小范围测试</x:v>
      </x:c>
      <x:c r="K189" s="7" t="str">
        <x:v>鼠标垫推广跟进表格-2025.08.16.xlsx / 2026.08.07梳理ST关键词 行25</x:v>
      </x:c>
    </x:row>
    <x:row r="190" ht="30" customHeight="1">
      <x:c r="A190" s="7" t="str">
        <x:v>K185</x:v>
      </x:c>
      <x:c r="B190" s="7" t="str">
        <x:v>coole mauspads weiß</x:v>
      </x:c>
      <x:c r="C190" s="7" t="str">
        <x:v>其他颜色</x:v>
      </x:c>
      <x:c r="D190" s="7" t="str">
        <x:v>首轮不投</x:v>
      </x:c>
      <x:c r="E190" s="7" t="str">
        <x:v>否</x:v>
      </x:c>
      <x:c r="F190" s="31"/>
      <x:c r="G190" s="31"/>
      <x:c r="H190" s="32" t="str">
        <x:v>无量记录</x:v>
      </x:c>
      <x:c r="I190" s="12"/>
      <x:c r="J190" s="7" t="str">
        <x:v>非本品黑灰红粉主色；不把所有白色相关短词统一否定</x:v>
      </x:c>
      <x:c r="K190" s="7" t="str">
        <x:v>鼠标垫推广跟进表格-2025.08.16.xlsx / 2026.08.07梳理ST关键词 行24</x:v>
      </x:c>
    </x:row>
    <x:row r="191" ht="30" customHeight="1">
      <x:c r="A191" s="7" t="str">
        <x:v>K186</x:v>
      </x:c>
      <x:c r="B191" s="7" t="str">
        <x:v>cooles mauspad für gaming</x:v>
      </x:c>
      <x:c r="C191" s="7" t="str">
        <x:v>游戏场景</x:v>
      </x:c>
      <x:c r="D191" s="7" t="str">
        <x:v>候选</x:v>
      </x:c>
      <x:c r="E191" s="7" t="str">
        <x:v>否</x:v>
      </x:c>
      <x:c r="F191" s="31"/>
      <x:c r="G191" s="31"/>
      <x:c r="H191" s="32" t="str">
        <x:v>无量记录</x:v>
      </x:c>
      <x:c r="I191" s="12"/>
      <x:c r="J191" s="7" t="str">
        <x:v>游戏使用场景，不表示已验证专业性能</x:v>
      </x:c>
      <x:c r="K191" s="7" t="str">
        <x:v>鼠标垫推广跟进表格-2025.08.16.xlsx / 2026.08.07梳理ST关键词 行26</x:v>
      </x:c>
    </x:row>
    <x:row r="192" ht="30" customHeight="1">
      <x:c r="A192" s="7" t="str">
        <x:v>K187</x:v>
      </x:c>
      <x:c r="B192" s="7" t="str">
        <x:v>corsair mauspad</x:v>
      </x:c>
      <x:c r="C192" s="7" t="str">
        <x:v>品类或桌面场景</x:v>
      </x:c>
      <x:c r="D192" s="7" t="str">
        <x:v>候选</x:v>
      </x:c>
      <x:c r="E192" s="7" t="str">
        <x:v>否</x:v>
      </x:c>
      <x:c r="F192" s="31"/>
      <x:c r="G192" s="31"/>
      <x:c r="H192" s="32" t="str">
        <x:v>无量记录</x:v>
      </x:c>
      <x:c r="I192" s="12"/>
      <x:c r="J192" s="7" t="str">
        <x:v>品类/桌面使用相关；宽泛桌垫词需小范围测试</x:v>
      </x:c>
      <x:c r="K192" s="7" t="str">
        <x:v>鼠标垫推广跟进表格-2025.08.16.xlsx / 关键词词库-小尺寸加护托 行70</x:v>
      </x:c>
    </x:row>
    <x:row r="193" ht="30" customHeight="1">
      <x:c r="A193" s="7" t="str">
        <x:v>K188</x:v>
      </x:c>
      <x:c r="B193" s="7" t="str">
        <x:v>cute mousepad</x:v>
      </x:c>
      <x:c r="C193" s="7" t="str">
        <x:v>品类或桌面场景</x:v>
      </x:c>
      <x:c r="D193" s="7" t="str">
        <x:v>候选</x:v>
      </x:c>
      <x:c r="E193" s="7" t="str">
        <x:v>否</x:v>
      </x:c>
      <x:c r="F193" s="31"/>
      <x:c r="G193" s="31"/>
      <x:c r="H193" s="32" t="str">
        <x:v>无量记录</x:v>
      </x:c>
      <x:c r="I193" s="12"/>
      <x:c r="J193" s="7" t="str">
        <x:v>品类/桌面使用相关；宽泛桌垫词需小范围测试</x:v>
      </x:c>
      <x:c r="K193" s="7" t="str">
        <x:v>鼠标垫推广跟进表格-2025.08.16.xlsx / 2026.08.07梳理ST关键词 行27</x:v>
      </x:c>
    </x:row>
    <x:row r="194" ht="30" customHeight="1">
      <x:c r="A194" s="7" t="str">
        <x:v>K189</x:v>
      </x:c>
      <x:c r="B194" s="7" t="str">
        <x:v>desk accessories</x:v>
      </x:c>
      <x:c r="C194" s="7" t="str">
        <x:v>宽泛配件</x:v>
      </x:c>
      <x:c r="D194" s="7" t="str">
        <x:v>保留待核验</x:v>
      </x:c>
      <x:c r="E194" s="7" t="str">
        <x:v>否</x:v>
      </x:c>
      <x:c r="F194" s="31"/>
      <x:c r="G194" s="31" t="n">
        <x:v>267</x:v>
      </x:c>
      <x:c r="H194" s="32" t="str">
        <x:v>周搜索量，日期及来源待核；首条原记录</x:v>
      </x:c>
      <x:c r="I194" s="12"/>
      <x:c r="J194" s="7" t="str">
        <x:v>范围过宽，首轮暂不分散预算</x:v>
      </x:c>
      <x:c r="K194" s="7" t="str">
        <x:v>鼠标垫推广跟进表格-2025.08.16.xlsx / 关键词词库-90 40 行214</x:v>
      </x:c>
    </x:row>
    <x:row r="195" ht="30" customHeight="1">
      <x:c r="A195" s="7" t="str">
        <x:v>K190</x:v>
      </x:c>
      <x:c r="B195" s="7" t="str">
        <x:v>desk mat</x:v>
      </x:c>
      <x:c r="C195" s="7" t="str">
        <x:v>品类或桌面场景</x:v>
      </x:c>
      <x:c r="D195" s="7" t="str">
        <x:v>候选</x:v>
      </x:c>
      <x:c r="E195" s="7" t="str">
        <x:v>否</x:v>
      </x:c>
      <x:c r="F195" s="31"/>
      <x:c r="G195" s="31" t="n">
        <x:v>1686</x:v>
      </x:c>
      <x:c r="H195" s="32" t="str">
        <x:v>搜索量，日期及来源待核；首条原记录</x:v>
      </x:c>
      <x:c r="I195" s="12"/>
      <x:c r="J195" s="7" t="str">
        <x:v>品类/桌面使用相关；宽泛桌垫词需小范围测试</x:v>
      </x:c>
      <x:c r="K195" s="7" t="str">
        <x:v>鼠标垫推广跟进表格-2025.08.16.xlsx / 关键词词库-90 40 行5</x:v>
      </x:c>
    </x:row>
    <x:row r="196" ht="30" customHeight="1">
      <x:c r="A196" s="7" t="str">
        <x:v>K191</x:v>
      </x:c>
      <x:c r="B196" s="7" t="str">
        <x:v>desk mat gaming</x:v>
      </x:c>
      <x:c r="C196" s="7" t="str">
        <x:v>游戏场景</x:v>
      </x:c>
      <x:c r="D196" s="7" t="str">
        <x:v>候选</x:v>
      </x:c>
      <x:c r="E196" s="7" t="str">
        <x:v>否</x:v>
      </x:c>
      <x:c r="F196" s="31"/>
      <x:c r="G196" s="31" t="n">
        <x:v>86</x:v>
      </x:c>
      <x:c r="H196" s="32" t="str">
        <x:v>周搜索量，日期及来源待核；首条原记录</x:v>
      </x:c>
      <x:c r="I196" s="12"/>
      <x:c r="J196" s="7" t="str">
        <x:v>游戏使用场景，不表示已验证专业性能</x:v>
      </x:c>
      <x:c r="K196" s="7" t="str">
        <x:v>鼠标垫推广跟进表格-2025.08.16.xlsx / 关键词词库-90 40 行197</x:v>
      </x:c>
    </x:row>
    <x:row r="197" ht="30" customHeight="1">
      <x:c r="A197" s="7" t="str">
        <x:v>K192</x:v>
      </x:c>
      <x:c r="B197" s="7" t="str">
        <x:v>desk pad</x:v>
      </x:c>
      <x:c r="C197" s="7" t="str">
        <x:v>品类或桌面场景</x:v>
      </x:c>
      <x:c r="D197" s="7" t="str">
        <x:v>候选</x:v>
      </x:c>
      <x:c r="E197" s="7" t="str">
        <x:v>否</x:v>
      </x:c>
      <x:c r="F197" s="31"/>
      <x:c r="G197" s="31" t="n">
        <x:v>286</x:v>
      </x:c>
      <x:c r="H197" s="32" t="str">
        <x:v>搜索量，日期及来源待核；首条原记录</x:v>
      </x:c>
      <x:c r="I197" s="12"/>
      <x:c r="J197" s="7" t="str">
        <x:v>品类/桌面使用相关；宽泛桌垫词需小范围测试</x:v>
      </x:c>
      <x:c r="K197" s="7" t="str">
        <x:v>鼠标垫推广跟进表格-2025.08.16.xlsx / 关键词词库-90 40 行10</x:v>
      </x:c>
    </x:row>
    <x:row r="198" ht="30" customHeight="1">
      <x:c r="A198" s="7" t="str">
        <x:v>K193</x:v>
      </x:c>
      <x:c r="B198" s="7" t="str">
        <x:v>ergonomische handgelenkauflage</x:v>
      </x:c>
      <x:c r="C198" s="7" t="str">
        <x:v>不符结构或功能</x:v>
      </x:c>
      <x:c r="D198" s="7" t="str">
        <x:v>排除候选，确认产品事实</x:v>
      </x:c>
      <x:c r="E198" s="7" t="str">
        <x:v>否</x:v>
      </x:c>
      <x:c r="F198" s="31"/>
      <x:c r="G198" s="31"/>
      <x:c r="H198" s="32" t="str">
        <x:v>无量记录</x:v>
      </x:c>
      <x:c r="I198" s="12"/>
      <x:c r="J198" s="7" t="str">
        <x:v>与平面月下武士桌垫不符或特定结构/功能未经证实</x:v>
      </x:c>
      <x:c r="K198" s="7" t="str">
        <x:v>鼠标垫推广跟进表格-2025.08.16.xlsx / 关键词词库-小尺寸加护托 行55</x:v>
      </x:c>
    </x:row>
    <x:row r="199" ht="30" customHeight="1">
      <x:c r="A199" s="7" t="str">
        <x:v>K194</x:v>
      </x:c>
      <x:c r="B199" s="7" t="str">
        <x:v>ergonomische mauspad</x:v>
      </x:c>
      <x:c r="C199" s="7" t="str">
        <x:v>不符结构或功能</x:v>
      </x:c>
      <x:c r="D199" s="7" t="str">
        <x:v>排除候选，确认产品事实</x:v>
      </x:c>
      <x:c r="E199" s="7" t="str">
        <x:v>否</x:v>
      </x:c>
      <x:c r="F199" s="31"/>
      <x:c r="G199" s="31"/>
      <x:c r="H199" s="32" t="str">
        <x:v>无量记录</x:v>
      </x:c>
      <x:c r="I199" s="12"/>
      <x:c r="J199" s="7" t="str">
        <x:v>与平面月下武士桌垫不符或特定结构/功能未经证实</x:v>
      </x:c>
      <x:c r="K199" s="7" t="str">
        <x:v>鼠标垫推广跟进表格-2025.08.16.xlsx / 关键词词库-小尺寸加护托 行27</x:v>
      </x:c>
    </x:row>
    <x:row r="200" ht="40" customHeight="1">
      <x:c r="A200" s="7" t="str">
        <x:v>K195</x:v>
      </x:c>
      <x:c r="B200" s="7" t="str">
        <x:v>ergonomische schaumstoff-mauspad handgelenkauflage set</x:v>
      </x:c>
      <x:c r="C200" s="7" t="str">
        <x:v>不符结构或功能</x:v>
      </x:c>
      <x:c r="D200" s="7" t="str">
        <x:v>排除候选，确认产品事实</x:v>
      </x:c>
      <x:c r="E200" s="7" t="str">
        <x:v>否</x:v>
      </x:c>
      <x:c r="F200" s="31"/>
      <x:c r="G200" s="31"/>
      <x:c r="H200" s="32" t="str">
        <x:v>无量记录</x:v>
      </x:c>
      <x:c r="I200" s="12"/>
      <x:c r="J200" s="7" t="str">
        <x:v>与平面月下武士桌垫不符或特定结构/功能未经证实</x:v>
      </x:c>
      <x:c r="K200" s="7" t="str">
        <x:v>鼠标垫推广跟进表格-2025.08.16.xlsx / 关键词词库-小尺寸加护托 行49</x:v>
      </x:c>
    </x:row>
    <x:row r="201" ht="30" customHeight="1">
      <x:c r="A201" s="7" t="str">
        <x:v>K196</x:v>
      </x:c>
      <x:c r="B201" s="7" t="str">
        <x:v>ergonomisches mauspad</x:v>
      </x:c>
      <x:c r="C201" s="7" t="str">
        <x:v>不符结构或功能</x:v>
      </x:c>
      <x:c r="D201" s="7" t="str">
        <x:v>排除候选，确认产品事实</x:v>
      </x:c>
      <x:c r="E201" s="7" t="str">
        <x:v>否</x:v>
      </x:c>
      <x:c r="F201" s="31"/>
      <x:c r="G201" s="31"/>
      <x:c r="H201" s="32" t="str">
        <x:v>无量记录</x:v>
      </x:c>
      <x:c r="I201" s="12"/>
      <x:c r="J201" s="7" t="str">
        <x:v>与平面月下武士桌垫不符或特定结构/功能未经证实</x:v>
      </x:c>
      <x:c r="K201" s="7" t="str">
        <x:v>鼠标垫推广跟进表格-2025.08.16.xlsx / 关键词词库-小尺寸加护托 行10</x:v>
      </x:c>
    </x:row>
    <x:row r="202" ht="30" customHeight="1">
      <x:c r="A202" s="7" t="str">
        <x:v>K197</x:v>
      </x:c>
      <x:c r="B202" s="7" t="str">
        <x:v>ergonomisches mauspad mit handauflage</x:v>
      </x:c>
      <x:c r="C202" s="7" t="str">
        <x:v>不符结构或功能</x:v>
      </x:c>
      <x:c r="D202" s="7" t="str">
        <x:v>排除候选，确认产品事实</x:v>
      </x:c>
      <x:c r="E202" s="7" t="str">
        <x:v>否</x:v>
      </x:c>
      <x:c r="F202" s="31"/>
      <x:c r="G202" s="31"/>
      <x:c r="H202" s="32" t="str">
        <x:v>无量记录</x:v>
      </x:c>
      <x:c r="I202" s="12"/>
      <x:c r="J202" s="7" t="str">
        <x:v>与平面月下武士桌垫不符或特定结构/功能未经证实</x:v>
      </x:c>
      <x:c r="K202" s="7" t="str">
        <x:v>鼠标垫推广跟进表格-2025.08.16.xlsx / 关键词词库-小尺寸加护托 行42</x:v>
      </x:c>
    </x:row>
    <x:row r="203" ht="30" customHeight="1">
      <x:c r="A203" s="7" t="str">
        <x:v>K198</x:v>
      </x:c>
      <x:c r="B203" s="7" t="str">
        <x:v>ergonomisches mousepad</x:v>
      </x:c>
      <x:c r="C203" s="7" t="str">
        <x:v>不符结构或功能</x:v>
      </x:c>
      <x:c r="D203" s="7" t="str">
        <x:v>排除候选，确认产品事实</x:v>
      </x:c>
      <x:c r="E203" s="7" t="str">
        <x:v>否</x:v>
      </x:c>
      <x:c r="F203" s="31"/>
      <x:c r="G203" s="31"/>
      <x:c r="H203" s="32" t="str">
        <x:v>无量记录</x:v>
      </x:c>
      <x:c r="I203" s="12"/>
      <x:c r="J203" s="7" t="str">
        <x:v>与平面月下武士桌垫不符或特定结构/功能未经证实</x:v>
      </x:c>
      <x:c r="K203" s="7" t="str">
        <x:v>鼠标垫推广跟进表格-2025.08.16.xlsx / 关键词词库-小尺寸加护托 行32</x:v>
      </x:c>
    </x:row>
    <x:row r="204" ht="30" customHeight="1">
      <x:c r="A204" s="7" t="str">
        <x:v>K199</x:v>
      </x:c>
      <x:c r="B204" s="7" t="str">
        <x:v>extra großes anime-mauspad</x:v>
      </x:c>
      <x:c r="C204" s="7" t="str">
        <x:v>动漫风格待验证</x:v>
      </x:c>
      <x:c r="D204" s="7" t="str">
        <x:v>保留待核验</x:v>
      </x:c>
      <x:c r="E204" s="7" t="str">
        <x:v>否</x:v>
      </x:c>
      <x:c r="F204" s="31"/>
      <x:c r="G204" s="31"/>
      <x:c r="H204" s="32" t="str">
        <x:v>无量记录</x:v>
      </x:c>
      <x:c r="I204" s="12"/>
      <x:c r="J204" s="7" t="str">
        <x:v>武士插画不等于特定动漫/授权IP；另作相关性验证</x:v>
      </x:c>
      <x:c r="K204" s="7" t="str">
        <x:v>鼠标垫推广跟进表格-2025.08.16.xlsx / 2026.08.07梳理ST关键词 行74</x:v>
      </x:c>
    </x:row>
    <x:row r="205" ht="30" customHeight="1">
      <x:c r="A205" s="7" t="str">
        <x:v>K200</x:v>
      </x:c>
      <x:c r="B205" s="7" t="str">
        <x:v>extra großes mauspad</x:v>
      </x:c>
      <x:c r="C205" s="7" t="str">
        <x:v>大尺寸</x:v>
      </x:c>
      <x:c r="D205" s="7" t="str">
        <x:v>候选</x:v>
      </x:c>
      <x:c r="E205" s="7" t="str">
        <x:v>否</x:v>
      </x:c>
      <x:c r="F205" s="31"/>
      <x:c r="G205" s="31"/>
      <x:c r="H205" s="32" t="str">
        <x:v>无量记录</x:v>
      </x:c>
      <x:c r="I205" s="12"/>
      <x:c r="J205" s="7" t="str">
        <x:v>大桌垫相关；超大规格用词不替代明确尺寸</x:v>
      </x:c>
      <x:c r="K205" s="7" t="str">
        <x:v>鼠标垫推广跟进表格-2025.08.16.xlsx / 2026.08.07梳理ST关键词 行75</x:v>
      </x:c>
    </x:row>
    <x:row r="206" ht="30" customHeight="1">
      <x:c r="A206" s="7" t="str">
        <x:v>K201</x:v>
      </x:c>
      <x:c r="B206" s="7" t="str">
        <x:v>extra large black and white mousepad</x:v>
      </x:c>
      <x:c r="C206" s="7" t="str">
        <x:v>其他颜色</x:v>
      </x:c>
      <x:c r="D206" s="7" t="str">
        <x:v>首轮不投</x:v>
      </x:c>
      <x:c r="E206" s="7" t="str">
        <x:v>否</x:v>
      </x:c>
      <x:c r="F206" s="31"/>
      <x:c r="G206" s="31"/>
      <x:c r="H206" s="32" t="str">
        <x:v>无量记录</x:v>
      </x:c>
      <x:c r="I206" s="12"/>
      <x:c r="J206" s="7" t="str">
        <x:v>非本品黑灰红粉主色；不把所有白色相关短词统一否定</x:v>
      </x:c>
      <x:c r="K206" s="7" t="str">
        <x:v>鼠标垫推广跟进表格-2025.08.16.xlsx / 2026.08.07梳理ST关键词 行15</x:v>
      </x:c>
    </x:row>
    <x:row r="207" ht="30" customHeight="1">
      <x:c r="A207" s="7" t="str">
        <x:v>K202</x:v>
      </x:c>
      <x:c r="B207" s="7" t="str">
        <x:v>fantasy mauspad</x:v>
      </x:c>
      <x:c r="C207" s="7" t="str">
        <x:v>日式武士图案</x:v>
      </x:c>
      <x:c r="D207" s="7" t="str">
        <x:v>小范围验证</x:v>
      </x:c>
      <x:c r="E207" s="7" t="str">
        <x:v>是</x:v>
      </x:c>
      <x:c r="F207" s="31"/>
      <x:c r="G207" s="31"/>
      <x:c r="H207" s="32" t="str">
        <x:v>无量记录</x:v>
      </x:c>
      <x:c r="I207" s="12"/>
      <x:c r="J207" s="7" t="str">
        <x:v>图案相关；当前搜索量及转化未验证</x:v>
      </x:c>
      <x:c r="K207" s="7" t="str">
        <x:v>鼠标垫推广跟进表格-2025.08.16.xlsx / 2026.08.07梳理ST关键词 行29</x:v>
      </x:c>
    </x:row>
    <x:row r="208" ht="30" customHeight="1">
      <x:c r="A208" s="7" t="str">
        <x:v>K203</x:v>
      </x:c>
      <x:c r="B208" s="7" t="str">
        <x:v>fitting gaming mauspad anime</x:v>
      </x:c>
      <x:c r="C208" s="7" t="str">
        <x:v>动漫风格待验证</x:v>
      </x:c>
      <x:c r="D208" s="7" t="str">
        <x:v>保留待核验</x:v>
      </x:c>
      <x:c r="E208" s="7" t="str">
        <x:v>否</x:v>
      </x:c>
      <x:c r="F208" s="31"/>
      <x:c r="G208" s="31"/>
      <x:c r="H208" s="32" t="str">
        <x:v>无量记录</x:v>
      </x:c>
      <x:c r="I208" s="12"/>
      <x:c r="J208" s="7" t="str">
        <x:v>武士插画不等于特定动漫/授权IP；另作相关性验证</x:v>
      </x:c>
      <x:c r="K208" s="7" t="str">
        <x:v>鼠标垫推广跟进表格-2025.08.16.xlsx / 2026.08.07梳理ST关键词 行7</x:v>
      </x:c>
    </x:row>
    <x:row r="209" ht="30" customHeight="1">
      <x:c r="A209" s="7" t="str">
        <x:v>K204</x:v>
      </x:c>
      <x:c r="B209" s="7" t="str">
        <x:v>flower xxl mauspad</x:v>
      </x:c>
      <x:c r="C209" s="7" t="str">
        <x:v>其他图案</x:v>
      </x:c>
      <x:c r="D209" s="7" t="str">
        <x:v>首轮不投</x:v>
      </x:c>
      <x:c r="E209" s="7" t="str">
        <x:v>否</x:v>
      </x:c>
      <x:c r="F209" s="31"/>
      <x:c r="G209" s="31"/>
      <x:c r="H209" s="32" t="str">
        <x:v>无量记录</x:v>
      </x:c>
      <x:c r="I209" s="12"/>
      <x:c r="J209" s="7" t="str">
        <x:v>其他图案/人物意图，不适合单月下武士ASIN</x:v>
      </x:c>
      <x:c r="K209" s="7" t="str">
        <x:v>鼠标垫推广跟进表格-2025.08.16.xlsx / 2026.08.07梳理ST关键词 行30</x:v>
      </x:c>
    </x:row>
    <x:row r="210" ht="30" customHeight="1">
      <x:c r="A210" s="7" t="str">
        <x:v>K205</x:v>
      </x:c>
      <x:c r="B210" s="7" t="str">
        <x:v>gaming accessories</x:v>
      </x:c>
      <x:c r="C210" s="7" t="str">
        <x:v>宽泛配件</x:v>
      </x:c>
      <x:c r="D210" s="7" t="str">
        <x:v>保留待核验</x:v>
      </x:c>
      <x:c r="E210" s="7" t="str">
        <x:v>否</x:v>
      </x:c>
      <x:c r="F210" s="31"/>
      <x:c r="G210" s="31" t="n">
        <x:v>588</x:v>
      </x:c>
      <x:c r="H210" s="32" t="str">
        <x:v>周搜索量，日期及来源待核；首条原记录</x:v>
      </x:c>
      <x:c r="I210" s="12"/>
      <x:c r="J210" s="7" t="str">
        <x:v>范围过宽，首轮暂不分散预算</x:v>
      </x:c>
      <x:c r="K210" s="7" t="str">
        <x:v>鼠标垫推广跟进表格-2025.08.16.xlsx / 关键词词库-90 40 行200</x:v>
      </x:c>
    </x:row>
    <x:row r="211" ht="30" customHeight="1">
      <x:c r="A211" s="7" t="str">
        <x:v>K206</x:v>
      </x:c>
      <x:c r="B211" s="7" t="str">
        <x:v>gaming ecktisch</x:v>
      </x:c>
      <x:c r="C211" s="7" t="str">
        <x:v>宽泛配件</x:v>
      </x:c>
      <x:c r="D211" s="7" t="str">
        <x:v>保留待核验</x:v>
      </x:c>
      <x:c r="E211" s="7" t="str">
        <x:v>否</x:v>
      </x:c>
      <x:c r="F211" s="31"/>
      <x:c r="G211" s="31" t="n">
        <x:v>155</x:v>
      </x:c>
      <x:c r="H211" s="32" t="str">
        <x:v>周搜索量，日期及来源待核；首条原记录</x:v>
      </x:c>
      <x:c r="I211" s="12"/>
      <x:c r="J211" s="7" t="str">
        <x:v>范围过宽，首轮暂不分散预算</x:v>
      </x:c>
      <x:c r="K211" s="7" t="str">
        <x:v>鼠标垫推广跟进表格-2025.08.16.xlsx / 关键词词库-90 40 行205</x:v>
      </x:c>
    </x:row>
    <x:row r="212" ht="30" customHeight="1">
      <x:c r="A212" s="7" t="str">
        <x:v>K207</x:v>
      </x:c>
      <x:c r="B212" s="7" t="str">
        <x:v>gaming mat</x:v>
      </x:c>
      <x:c r="C212" s="7" t="str">
        <x:v>游戏场景</x:v>
      </x:c>
      <x:c r="D212" s="7" t="str">
        <x:v>候选</x:v>
      </x:c>
      <x:c r="E212" s="7" t="str">
        <x:v>否</x:v>
      </x:c>
      <x:c r="F212" s="31"/>
      <x:c r="G212" s="31"/>
      <x:c r="H212" s="32" t="str">
        <x:v>无量记录</x:v>
      </x:c>
      <x:c r="I212" s="12"/>
      <x:c r="J212" s="7" t="str">
        <x:v>游戏使用场景，不表示已验证专业性能</x:v>
      </x:c>
      <x:c r="K212" s="7" t="str">
        <x:v>鼠标垫推广跟进表格-2025.08.16.xlsx / 关键词词库-90 40 行102,220</x:v>
      </x:c>
    </x:row>
    <x:row r="213" ht="30" customHeight="1">
      <x:c r="A213" s="7" t="str">
        <x:v>K208</x:v>
      </x:c>
      <x:c r="B213" s="7" t="str">
        <x:v>gaming matte schreibtisch</x:v>
      </x:c>
      <x:c r="C213" s="7" t="str">
        <x:v>游戏场景</x:v>
      </x:c>
      <x:c r="D213" s="7" t="str">
        <x:v>候选</x:v>
      </x:c>
      <x:c r="E213" s="7" t="str">
        <x:v>否</x:v>
      </x:c>
      <x:c r="F213" s="31"/>
      <x:c r="G213" s="31"/>
      <x:c r="H213" s="32" t="str">
        <x:v>无量记录</x:v>
      </x:c>
      <x:c r="I213" s="12"/>
      <x:c r="J213" s="7" t="str">
        <x:v>游戏使用场景，不表示已验证专业性能</x:v>
      </x:c>
      <x:c r="K213" s="7" t="str">
        <x:v>鼠标垫推广跟进表格-2025.08.16.xlsx / 关键词词库-90 40 行103,221</x:v>
      </x:c>
    </x:row>
    <x:row r="214" ht="30" customHeight="1">
      <x:c r="A214" s="7" t="str">
        <x:v>K209</x:v>
      </x:c>
      <x:c r="B214" s="7" t="str">
        <x:v>gaming maus pad</x:v>
      </x:c>
      <x:c r="C214" s="7" t="str">
        <x:v>游戏场景</x:v>
      </x:c>
      <x:c r="D214" s="7" t="str">
        <x:v>候选</x:v>
      </x:c>
      <x:c r="E214" s="7" t="str">
        <x:v>否</x:v>
      </x:c>
      <x:c r="F214" s="31"/>
      <x:c r="G214" s="31" t="n">
        <x:v>148</x:v>
      </x:c>
      <x:c r="H214" s="32" t="str">
        <x:v>周搜索量，日期及来源待核；首条原记录</x:v>
      </x:c>
      <x:c r="I214" s="12"/>
      <x:c r="J214" s="7" t="str">
        <x:v>游戏使用场景，不表示已验证专业性能</x:v>
      </x:c>
      <x:c r="K214" s="7" t="str">
        <x:v>鼠标垫推广跟进表格-2025.08.16.xlsx / 关键词词库-90 40 行111</x:v>
      </x:c>
    </x:row>
    <x:row r="215" ht="30" customHeight="1">
      <x:c r="A215" s="7" t="str">
        <x:v>K210</x:v>
      </x:c>
      <x:c r="B215" s="7" t="str">
        <x:v>gaming mauspad 1200x600</x:v>
      </x:c>
      <x:c r="C215" s="7" t="str">
        <x:v>1200版尺寸</x:v>
      </x:c>
      <x:c r="D215" s="7" t="str">
        <x:v>其他尺寸单独处理</x:v>
      </x:c>
      <x:c r="E215" s="7" t="str">
        <x:v>否</x:v>
      </x:c>
      <x:c r="F215" s="31"/>
      <x:c r="G215" s="31" t="n">
        <x:v>197</x:v>
      </x:c>
      <x:c r="H215" s="32" t="str">
        <x:v>周搜索量，日期及来源待核；首条原记录</x:v>
      </x:c>
      <x:c r="I215" s="12"/>
      <x:c r="J215" s="7" t="str">
        <x:v>属于1200版，不进入本轮900版</x:v>
      </x:c>
      <x:c r="K215" s="7" t="str">
        <x:v>鼠标垫推广跟进表格-2025.08.16.xlsx / 关键词词库-90 40 行113</x:v>
      </x:c>
    </x:row>
    <x:row r="216" ht="30" customHeight="1">
      <x:c r="A216" s="7" t="str">
        <x:v>K211</x:v>
      </x:c>
      <x:c r="B216" s="7" t="str">
        <x:v>gaming mauspad nyfter</x:v>
      </x:c>
      <x:c r="C216" s="7" t="str">
        <x:v>竞品品牌</x:v>
      </x:c>
      <x:c r="D216" s="7" t="str">
        <x:v>保留待核验</x:v>
      </x:c>
      <x:c r="E216" s="7" t="str">
        <x:v>否</x:v>
      </x:c>
      <x:c r="F216" s="31"/>
      <x:c r="G216" s="31"/>
      <x:c r="H216" s="32" t="str">
        <x:v>无量记录</x:v>
      </x:c>
      <x:c r="I216" s="12"/>
      <x:c r="J216" s="7" t="str">
        <x:v>首轮不验证竞品品牌意图；可另设专项，不能当自有品牌</x:v>
      </x:c>
      <x:c r="K216" s="7" t="str">
        <x:v>鼠标垫推广跟进表格-2025.08.16.xlsx / 关键词词库-90 40 行138</x:v>
      </x:c>
    </x:row>
    <x:row r="217" ht="30" customHeight="1">
      <x:c r="A217" s="7" t="str">
        <x:v>K212</x:v>
      </x:c>
      <x:c r="B217" s="7" t="str">
        <x:v>gaming mauspad schwarz weiß</x:v>
      </x:c>
      <x:c r="C217" s="7" t="str">
        <x:v>其他颜色</x:v>
      </x:c>
      <x:c r="D217" s="7" t="str">
        <x:v>首轮不投</x:v>
      </x:c>
      <x:c r="E217" s="7" t="str">
        <x:v>否</x:v>
      </x:c>
      <x:c r="F217" s="31"/>
      <x:c r="G217" s="31"/>
      <x:c r="H217" s="32" t="str">
        <x:v>无量记录</x:v>
      </x:c>
      <x:c r="I217" s="12"/>
      <x:c r="J217" s="7" t="str">
        <x:v>非本品黑灰红粉主色；不把所有白色相关短词统一否定</x:v>
      </x:c>
      <x:c r="K217" s="7" t="str">
        <x:v>鼠标垫推广跟进表格-2025.08.16.xlsx / 2026.08.07梳理ST关键词 行4</x:v>
      </x:c>
    </x:row>
    <x:row r="218" ht="30" customHeight="1">
      <x:c r="A218" s="7" t="str">
        <x:v>K213</x:v>
      </x:c>
      <x:c r="B218" s="7" t="str">
        <x:v>gaming mauspad weiß</x:v>
      </x:c>
      <x:c r="C218" s="7" t="str">
        <x:v>其他颜色</x:v>
      </x:c>
      <x:c r="D218" s="7" t="str">
        <x:v>首轮不投</x:v>
      </x:c>
      <x:c r="E218" s="7" t="str">
        <x:v>否</x:v>
      </x:c>
      <x:c r="F218" s="31"/>
      <x:c r="G218" s="31" t="n">
        <x:v>115</x:v>
      </x:c>
      <x:c r="H218" s="32" t="str">
        <x:v>周搜索量，日期及来源待核；首条原记录</x:v>
      </x:c>
      <x:c r="I218" s="12"/>
      <x:c r="J218" s="7" t="str">
        <x:v>非本品黑灰红粉主色；不把所有白色相关短词统一否定</x:v>
      </x:c>
      <x:c r="K218" s="7" t="str">
        <x:v>鼠标垫推广跟进表格-2025.08.16.xlsx / 关键词词库-90 40 行101,161</x:v>
      </x:c>
    </x:row>
    <x:row r="219" ht="30" customHeight="1">
      <x:c r="A219" s="7" t="str">
        <x:v>K214</x:v>
      </x:c>
      <x:c r="B219" s="7" t="str">
        <x:v>gaming mousepad 900x400</x:v>
      </x:c>
      <x:c r="C219" s="7" t="str">
        <x:v>900×400精确尺寸</x:v>
      </x:c>
      <x:c r="D219" s="7" t="str">
        <x:v>候选</x:v>
      </x:c>
      <x:c r="E219" s="7" t="str">
        <x:v>否</x:v>
      </x:c>
      <x:c r="F219" s="31"/>
      <x:c r="G219" s="31"/>
      <x:c r="H219" s="32" t="str">
        <x:v>无量记录</x:v>
      </x:c>
      <x:c r="I219" s="12"/>
      <x:c r="J219" s="7" t="str">
        <x:v>与本轮实际尺寸一致</x:v>
      </x:c>
      <x:c r="K219" s="7" t="str">
        <x:v>鼠标垫推广跟进表格-2025.08.16.xlsx / 关键词词库-90 40 行112</x:v>
      </x:c>
    </x:row>
    <x:row r="220" ht="30" customHeight="1">
      <x:c r="A220" s="7" t="str">
        <x:v>K215</x:v>
      </x:c>
      <x:c r="B220" s="7" t="str">
        <x:v>gaming mouspad</x:v>
      </x:c>
      <x:c r="C220" s="7" t="str">
        <x:v>游戏场景</x:v>
      </x:c>
      <x:c r="D220" s="7" t="str">
        <x:v>候选</x:v>
      </x:c>
      <x:c r="E220" s="7" t="str">
        <x:v>否</x:v>
      </x:c>
      <x:c r="F220" s="31"/>
      <x:c r="G220" s="31"/>
      <x:c r="H220" s="32" t="str">
        <x:v>无量记录</x:v>
      </x:c>
      <x:c r="I220" s="12"/>
      <x:c r="J220" s="7" t="str">
        <x:v>游戏使用场景，不表示已验证专业性能</x:v>
      </x:c>
      <x:c r="K220" s="7" t="str">
        <x:v>鼠标垫推广跟进表格-2025.08.16.xlsx / 关键词词库-90 40 行114</x:v>
      </x:c>
    </x:row>
    <x:row r="221" ht="30" customHeight="1">
      <x:c r="A221" s="7" t="str">
        <x:v>K216</x:v>
      </x:c>
      <x:c r="B221" s="7" t="str">
        <x:v>gaming pc zubehör</x:v>
      </x:c>
      <x:c r="C221" s="7" t="str">
        <x:v>宽泛配件</x:v>
      </x:c>
      <x:c r="D221" s="7" t="str">
        <x:v>保留待核验</x:v>
      </x:c>
      <x:c r="E221" s="7" t="str">
        <x:v>否</x:v>
      </x:c>
      <x:c r="F221" s="31"/>
      <x:c r="G221" s="31" t="n">
        <x:v>237</x:v>
      </x:c>
      <x:c r="H221" s="32" t="str">
        <x:v>周搜索量，日期及来源待核；首条原记录</x:v>
      </x:c>
      <x:c r="I221" s="12"/>
      <x:c r="J221" s="7" t="str">
        <x:v>范围过宽，首轮暂不分散预算</x:v>
      </x:c>
      <x:c r="K221" s="7" t="str">
        <x:v>鼠标垫推广跟进表格-2025.08.16.xlsx / 关键词词库-90 40 行223</x:v>
      </x:c>
    </x:row>
    <x:row r="222" ht="30" customHeight="1">
      <x:c r="A222" s="7" t="str">
        <x:v>K217</x:v>
      </x:c>
      <x:c r="B222" s="7" t="str">
        <x:v>gaming setup zubehör</x:v>
      </x:c>
      <x:c r="C222" s="7" t="str">
        <x:v>宽泛配件</x:v>
      </x:c>
      <x:c r="D222" s="7" t="str">
        <x:v>保留待核验</x:v>
      </x:c>
      <x:c r="E222" s="7" t="str">
        <x:v>否</x:v>
      </x:c>
      <x:c r="F222" s="31"/>
      <x:c r="G222" s="31" t="n">
        <x:v>215</x:v>
      </x:c>
      <x:c r="H222" s="32" t="str">
        <x:v>周搜索量，日期及来源待核；首条原记录</x:v>
      </x:c>
      <x:c r="I222" s="12"/>
      <x:c r="J222" s="7" t="str">
        <x:v>范围过宽，首轮暂不分散预算</x:v>
      </x:c>
      <x:c r="K222" s="7" t="str">
        <x:v>鼠标垫推广跟进表格-2025.08.16.xlsx / 关键词词库-90 40 行218</x:v>
      </x:c>
    </x:row>
    <x:row r="223" ht="30" customHeight="1">
      <x:c r="A223" s="7" t="str">
        <x:v>K218</x:v>
      </x:c>
      <x:c r="B223" s="7" t="str">
        <x:v>gaming tisch zubehör</x:v>
      </x:c>
      <x:c r="C223" s="7" t="str">
        <x:v>宽泛配件</x:v>
      </x:c>
      <x:c r="D223" s="7" t="str">
        <x:v>保留待核验</x:v>
      </x:c>
      <x:c r="E223" s="7" t="str">
        <x:v>否</x:v>
      </x:c>
      <x:c r="F223" s="31"/>
      <x:c r="G223" s="31" t="n">
        <x:v>128</x:v>
      </x:c>
      <x:c r="H223" s="32" t="str">
        <x:v>周搜索量，日期及来源待核；首条原记录</x:v>
      </x:c>
      <x:c r="I223" s="12"/>
      <x:c r="J223" s="7" t="str">
        <x:v>范围过宽，首轮暂不分散预算</x:v>
      </x:c>
      <x:c r="K223" s="7" t="str">
        <x:v>鼠标垫推广跟进表格-2025.08.16.xlsx / 关键词词库-90 40 行217</x:v>
      </x:c>
    </x:row>
    <x:row r="224" ht="30" customHeight="1">
      <x:c r="A224" s="7" t="str">
        <x:v>K219</x:v>
      </x:c>
      <x:c r="B224" s="7" t="str">
        <x:v>gaming unterlage</x:v>
      </x:c>
      <x:c r="C224" s="7" t="str">
        <x:v>游戏场景</x:v>
      </x:c>
      <x:c r="D224" s="7" t="str">
        <x:v>候选</x:v>
      </x:c>
      <x:c r="E224" s="7" t="str">
        <x:v>否</x:v>
      </x:c>
      <x:c r="F224" s="31"/>
      <x:c r="G224" s="31" t="n">
        <x:v>212</x:v>
      </x:c>
      <x:c r="H224" s="32" t="str">
        <x:v>周搜索量，日期及来源待核；首条原记录</x:v>
      </x:c>
      <x:c r="I224" s="12"/>
      <x:c r="J224" s="7" t="str">
        <x:v>游戏使用场景，不表示已验证专业性能</x:v>
      </x:c>
      <x:c r="K224" s="7" t="str">
        <x:v>鼠标垫推广跟进表格-2025.08.16.xlsx / 关键词词库-90 40 行97,196
鼠标垫推广跟进表格-2025.08.16.xlsx / 关键词词库-小尺寸加护托 行85</x:v>
      </x:c>
    </x:row>
    <x:row r="225" ht="30" customHeight="1">
      <x:c r="A225" s="7" t="str">
        <x:v>K220</x:v>
      </x:c>
      <x:c r="B225" s="7" t="str">
        <x:v>gaming zubehör</x:v>
      </x:c>
      <x:c r="C225" s="7" t="str">
        <x:v>宽泛配件</x:v>
      </x:c>
      <x:c r="D225" s="7" t="str">
        <x:v>保留待核验</x:v>
      </x:c>
      <x:c r="E225" s="7" t="str">
        <x:v>否</x:v>
      </x:c>
      <x:c r="F225" s="31"/>
      <x:c r="G225" s="31" t="n">
        <x:v>3351</x:v>
      </x:c>
      <x:c r="H225" s="32" t="str">
        <x:v>周搜索量，日期及来源待核；首条原记录</x:v>
      </x:c>
      <x:c r="I225" s="12"/>
      <x:c r="J225" s="7" t="str">
        <x:v>范围过宽，首轮暂不分散预算</x:v>
      </x:c>
      <x:c r="K225" s="7" t="str">
        <x:v>鼠标垫推广跟进表格-2025.08.16.xlsx / 关键词词库-90 40 行199</x:v>
      </x:c>
    </x:row>
    <x:row r="226" ht="30" customHeight="1">
      <x:c r="A226" s="7" t="str">
        <x:v>K221</x:v>
      </x:c>
      <x:c r="B226" s="7" t="str">
        <x:v>gaming zubehör pc</x:v>
      </x:c>
      <x:c r="C226" s="7" t="str">
        <x:v>宽泛配件</x:v>
      </x:c>
      <x:c r="D226" s="7" t="str">
        <x:v>保留待核验</x:v>
      </x:c>
      <x:c r="E226" s="7" t="str">
        <x:v>否</x:v>
      </x:c>
      <x:c r="F226" s="31"/>
      <x:c r="G226" s="31" t="n">
        <x:v>413</x:v>
      </x:c>
      <x:c r="H226" s="32" t="str">
        <x:v>周搜索量，日期及来源待核；首条原记录</x:v>
      </x:c>
      <x:c r="I226" s="12"/>
      <x:c r="J226" s="7" t="str">
        <x:v>范围过宽，首轮暂不分散预算</x:v>
      </x:c>
      <x:c r="K226" s="7" t="str">
        <x:v>鼠标垫推广跟进表格-2025.08.16.xlsx / 关键词词库-90 40 行203</x:v>
      </x:c>
    </x:row>
    <x:row r="227" ht="30" customHeight="1">
      <x:c r="A227" s="7" t="str">
        <x:v>K222</x:v>
      </x:c>
      <x:c r="B227" s="7" t="str">
        <x:v>gaming-mauspads für pc</x:v>
      </x:c>
      <x:c r="C227" s="7" t="str">
        <x:v>游戏场景</x:v>
      </x:c>
      <x:c r="D227" s="7" t="str">
        <x:v>候选</x:v>
      </x:c>
      <x:c r="E227" s="7" t="str">
        <x:v>否</x:v>
      </x:c>
      <x:c r="F227" s="31"/>
      <x:c r="G227" s="31" t="n">
        <x:v>135</x:v>
      </x:c>
      <x:c r="H227" s="32" t="str">
        <x:v>周搜索量，日期及来源待核；首条原记录</x:v>
      </x:c>
      <x:c r="I227" s="12"/>
      <x:c r="J227" s="7" t="str">
        <x:v>游戏使用场景，不表示已验证专业性能</x:v>
      </x:c>
      <x:c r="K227" s="7" t="str">
        <x:v>鼠标垫推广跟进表格-2025.08.16.xlsx / 关键词词库-90 40 行95
鼠标垫推广跟进表格-2025.08.16.xlsx / 关键词词库-小尺寸加护托 行84</x:v>
      </x:c>
    </x:row>
    <x:row r="228" ht="30" customHeight="1">
      <x:c r="A228" s="7" t="str">
        <x:v>K223</x:v>
      </x:c>
      <x:c r="B228" s="7" t="str">
        <x:v>gel mauspad</x:v>
      </x:c>
      <x:c r="C228" s="7" t="str">
        <x:v>不符结构或功能</x:v>
      </x:c>
      <x:c r="D228" s="7" t="str">
        <x:v>排除候选，确认产品事实</x:v>
      </x:c>
      <x:c r="E228" s="7" t="str">
        <x:v>否</x:v>
      </x:c>
      <x:c r="F228" s="31"/>
      <x:c r="G228" s="31"/>
      <x:c r="H228" s="32" t="str">
        <x:v>无量记录</x:v>
      </x:c>
      <x:c r="I228" s="12"/>
      <x:c r="J228" s="7" t="str">
        <x:v>与平面月下武士桌垫不符或特定结构/功能未经证实</x:v>
      </x:c>
      <x:c r="K228" s="7" t="str">
        <x:v>鼠标垫推广跟进表格-2025.08.16.xlsx / 关键词词库-小尺寸加护托 行37</x:v>
      </x:c>
    </x:row>
    <x:row r="229" ht="30" customHeight="1">
      <x:c r="A229" s="7" t="str">
        <x:v>K224</x:v>
      </x:c>
      <x:c r="B229" s="7" t="str">
        <x:v>gel mousepad handgelenkauflage</x:v>
      </x:c>
      <x:c r="C229" s="7" t="str">
        <x:v>不符结构或功能</x:v>
      </x:c>
      <x:c r="D229" s="7" t="str">
        <x:v>排除候选，确认产品事实</x:v>
      </x:c>
      <x:c r="E229" s="7" t="str">
        <x:v>否</x:v>
      </x:c>
      <x:c r="F229" s="31"/>
      <x:c r="G229" s="31"/>
      <x:c r="H229" s="32" t="str">
        <x:v>无量记录</x:v>
      </x:c>
      <x:c r="I229" s="12"/>
      <x:c r="J229" s="7" t="str">
        <x:v>与平面月下武士桌垫不符或特定结构/功能未经证实</x:v>
      </x:c>
      <x:c r="K229" s="7" t="str">
        <x:v>鼠标垫推广跟进表格-2025.08.16.xlsx / 关键词词库-小尺寸加护托 行56</x:v>
      </x:c>
    </x:row>
    <x:row r="230" ht="30" customHeight="1">
      <x:c r="A230" s="7" t="str">
        <x:v>K225</x:v>
      </x:c>
      <x:c r="B230" s="7" t="str">
        <x:v>gelkissen mauspad</x:v>
      </x:c>
      <x:c r="C230" s="7" t="str">
        <x:v>不符结构或功能</x:v>
      </x:c>
      <x:c r="D230" s="7" t="str">
        <x:v>排除候选，确认产品事实</x:v>
      </x:c>
      <x:c r="E230" s="7" t="str">
        <x:v>否</x:v>
      </x:c>
      <x:c r="F230" s="31"/>
      <x:c r="G230" s="31"/>
      <x:c r="H230" s="32" t="str">
        <x:v>无量记录</x:v>
      </x:c>
      <x:c r="I230" s="12"/>
      <x:c r="J230" s="7" t="str">
        <x:v>与平面月下武士桌垫不符或特定结构/功能未经证实</x:v>
      </x:c>
      <x:c r="K230" s="7" t="str">
        <x:v>鼠标垫推广跟进表格-2025.08.16.xlsx / 关键词词库-小尺寸加护托 行52</x:v>
      </x:c>
    </x:row>
    <x:row r="231" ht="30" customHeight="1">
      <x:c r="A231" s="7" t="str">
        <x:v>K226</x:v>
      </x:c>
      <x:c r="B231" s="7" t="str">
        <x:v>handauflage maus</x:v>
      </x:c>
      <x:c r="C231" s="7" t="str">
        <x:v>不符结构或功能</x:v>
      </x:c>
      <x:c r="D231" s="7" t="str">
        <x:v>排除候选，确认产品事实</x:v>
      </x:c>
      <x:c r="E231" s="7" t="str">
        <x:v>否</x:v>
      </x:c>
      <x:c r="F231" s="31"/>
      <x:c r="G231" s="31"/>
      <x:c r="H231" s="32" t="str">
        <x:v>无量记录</x:v>
      </x:c>
      <x:c r="I231" s="12"/>
      <x:c r="J231" s="7" t="str">
        <x:v>与平面月下武士桌垫不符或特定结构/功能未经证实</x:v>
      </x:c>
      <x:c r="K231" s="7" t="str">
        <x:v>鼠标垫推广跟进表格-2025.08.16.xlsx / 关键词词库-小尺寸加护托 行29</x:v>
      </x:c>
    </x:row>
    <x:row r="232" ht="30" customHeight="1">
      <x:c r="A232" s="7" t="str">
        <x:v>K227</x:v>
      </x:c>
      <x:c r="B232" s="7" t="str">
        <x:v>handauflage mauspad</x:v>
      </x:c>
      <x:c r="C232" s="7" t="str">
        <x:v>不符结构或功能</x:v>
      </x:c>
      <x:c r="D232" s="7" t="str">
        <x:v>排除候选，确认产品事实</x:v>
      </x:c>
      <x:c r="E232" s="7" t="str">
        <x:v>否</x:v>
      </x:c>
      <x:c r="F232" s="31"/>
      <x:c r="G232" s="31"/>
      <x:c r="H232" s="32" t="str">
        <x:v>无量记录</x:v>
      </x:c>
      <x:c r="I232" s="12"/>
      <x:c r="J232" s="7" t="str">
        <x:v>与平面月下武士桌垫不符或特定结构/功能未经证实</x:v>
      </x:c>
      <x:c r="K232" s="7" t="str">
        <x:v>鼠标垫推广跟进表格-2025.08.16.xlsx / 关键词词库-小尺寸加护托 行48</x:v>
      </x:c>
    </x:row>
    <x:row r="233" ht="30" customHeight="1">
      <x:c r="A233" s="7" t="str">
        <x:v>K228</x:v>
      </x:c>
      <x:c r="B233" s="7" t="str">
        <x:v>handballenauflage</x:v>
      </x:c>
      <x:c r="C233" s="7" t="str">
        <x:v>相关性待核实</x:v>
      </x:c>
      <x:c r="D233" s="7" t="str">
        <x:v>保留待核验</x:v>
      </x:c>
      <x:c r="E233" s="7" t="str">
        <x:v>否</x:v>
      </x:c>
      <x:c r="F233" s="31"/>
      <x:c r="G233" s="31"/>
      <x:c r="H233" s="32" t="str">
        <x:v>无量记录</x:v>
      </x:c>
      <x:c r="I233" s="12"/>
      <x:c r="J233" s="7" t="str">
        <x:v>含义或相关性待人工复核</x:v>
      </x:c>
      <x:c r="K233" s="7" t="str">
        <x:v>鼠标垫推广跟进表格-2025.08.16.xlsx / 关键词词库-小尺寸加护托 行9</x:v>
      </x:c>
    </x:row>
    <x:row r="234" ht="30" customHeight="1">
      <x:c r="A234" s="7" t="str">
        <x:v>K229</x:v>
      </x:c>
      <x:c r="B234" s="7" t="str">
        <x:v>handballenauflage maus</x:v>
      </x:c>
      <x:c r="C234" s="7" t="str">
        <x:v>相关性待核实</x:v>
      </x:c>
      <x:c r="D234" s="7" t="str">
        <x:v>保留待核验</x:v>
      </x:c>
      <x:c r="E234" s="7" t="str">
        <x:v>否</x:v>
      </x:c>
      <x:c r="F234" s="31"/>
      <x:c r="G234" s="31"/>
      <x:c r="H234" s="32" t="str">
        <x:v>无量记录</x:v>
      </x:c>
      <x:c r="I234" s="12"/>
      <x:c r="J234" s="7" t="str">
        <x:v>含义或相关性待人工复核</x:v>
      </x:c>
      <x:c r="K234" s="7" t="str">
        <x:v>鼠标垫推广跟进表格-2025.08.16.xlsx / 关键词词库-小尺寸加护托 行40</x:v>
      </x:c>
    </x:row>
    <x:row r="235" ht="30" customHeight="1">
      <x:c r="A235" s="7" t="str">
        <x:v>K230</x:v>
      </x:c>
      <x:c r="B235" s="7" t="str">
        <x:v>handgelenkauflage</x:v>
      </x:c>
      <x:c r="C235" s="7" t="str">
        <x:v>不符结构或功能</x:v>
      </x:c>
      <x:c r="D235" s="7" t="str">
        <x:v>排除候选，确认产品事实</x:v>
      </x:c>
      <x:c r="E235" s="7" t="str">
        <x:v>否</x:v>
      </x:c>
      <x:c r="F235" s="31"/>
      <x:c r="G235" s="31"/>
      <x:c r="H235" s="32" t="str">
        <x:v>无量记录</x:v>
      </x:c>
      <x:c r="I235" s="12"/>
      <x:c r="J235" s="7" t="str">
        <x:v>与平面月下武士桌垫不符或特定结构/功能未经证实</x:v>
      </x:c>
      <x:c r="K235" s="7" t="str">
        <x:v>鼠标垫推广跟进表格-2025.08.16.xlsx / 关键词词库-小尺寸加护托 行14</x:v>
      </x:c>
    </x:row>
    <x:row r="236" ht="30" customHeight="1">
      <x:c r="A236" s="7" t="str">
        <x:v>K231</x:v>
      </x:c>
      <x:c r="B236" s="7" t="str">
        <x:v>handgelenkauflage maus</x:v>
      </x:c>
      <x:c r="C236" s="7" t="str">
        <x:v>不符结构或功能</x:v>
      </x:c>
      <x:c r="D236" s="7" t="str">
        <x:v>排除候选，确认产品事实</x:v>
      </x:c>
      <x:c r="E236" s="7" t="str">
        <x:v>否</x:v>
      </x:c>
      <x:c r="F236" s="31"/>
      <x:c r="G236" s="31"/>
      <x:c r="H236" s="32" t="str">
        <x:v>无量记录</x:v>
      </x:c>
      <x:c r="I236" s="12"/>
      <x:c r="J236" s="7" t="str">
        <x:v>与平面月下武士桌垫不符或特定结构/功能未经证实</x:v>
      </x:c>
      <x:c r="K236" s="7" t="str">
        <x:v>鼠标垫推广跟进表格-2025.08.16.xlsx / 关键词词库-小尺寸加护托 行28</x:v>
      </x:c>
    </x:row>
    <x:row r="237" ht="30" customHeight="1">
      <x:c r="A237" s="7" t="str">
        <x:v>K232</x:v>
      </x:c>
      <x:c r="B237" s="7" t="str">
        <x:v>handgelenkauflagen</x:v>
      </x:c>
      <x:c r="C237" s="7" t="str">
        <x:v>不符结构或功能</x:v>
      </x:c>
      <x:c r="D237" s="7" t="str">
        <x:v>排除候选，确认产品事实</x:v>
      </x:c>
      <x:c r="E237" s="7" t="str">
        <x:v>否</x:v>
      </x:c>
      <x:c r="F237" s="31"/>
      <x:c r="G237" s="31"/>
      <x:c r="H237" s="32" t="str">
        <x:v>无量记录</x:v>
      </x:c>
      <x:c r="I237" s="12"/>
      <x:c r="J237" s="7" t="str">
        <x:v>与平面月下武士桌垫不符或特定结构/功能未经证实</x:v>
      </x:c>
      <x:c r="K237" s="7" t="str">
        <x:v>鼠标垫推广跟进表格-2025.08.16.xlsx / 关键词词库-小尺寸加护托 行33</x:v>
      </x:c>
    </x:row>
    <x:row r="238" ht="30" customHeight="1">
      <x:c r="A238" s="7" t="str">
        <x:v>K233</x:v>
      </x:c>
      <x:c r="B238" s="7" t="str">
        <x:v>large mousepad</x:v>
      </x:c>
      <x:c r="C238" s="7" t="str">
        <x:v>大尺寸</x:v>
      </x:c>
      <x:c r="D238" s="7" t="str">
        <x:v>候选</x:v>
      </x:c>
      <x:c r="E238" s="7" t="str">
        <x:v>否</x:v>
      </x:c>
      <x:c r="F238" s="31"/>
      <x:c r="G238" s="31" t="n">
        <x:v>96</x:v>
      </x:c>
      <x:c r="H238" s="32" t="str">
        <x:v>周搜索量，日期及来源待核；首条原记录</x:v>
      </x:c>
      <x:c r="I238" s="12"/>
      <x:c r="J238" s="7" t="str">
        <x:v>大桌垫相关；超大规格用词不替代明确尺寸</x:v>
      </x:c>
      <x:c r="K238" s="7" t="str">
        <x:v>鼠标垫推广跟进表格-2025.08.16.xlsx / 关键词词库-90 40 行60</x:v>
      </x:c>
    </x:row>
    <x:row r="239" ht="30" customHeight="1">
      <x:c r="A239" s="7" t="str">
        <x:v>K234</x:v>
      </x:c>
      <x:c r="B239" s="7" t="str">
        <x:v>logitech desk mat</x:v>
      </x:c>
      <x:c r="C239" s="7" t="str">
        <x:v>竞品品牌</x:v>
      </x:c>
      <x:c r="D239" s="7" t="str">
        <x:v>保留待核验</x:v>
      </x:c>
      <x:c r="E239" s="7" t="str">
        <x:v>否</x:v>
      </x:c>
      <x:c r="F239" s="31"/>
      <x:c r="G239" s="31" t="n">
        <x:v>249</x:v>
      </x:c>
      <x:c r="H239" s="32" t="str">
        <x:v>周搜索量，日期及来源待核；首条原记录</x:v>
      </x:c>
      <x:c r="I239" s="12"/>
      <x:c r="J239" s="7" t="str">
        <x:v>首轮不验证竞品品牌意图；可另设专项，不能当自有品牌</x:v>
      </x:c>
      <x:c r="K239" s="7" t="str">
        <x:v>鼠标垫推广跟进表格-2025.08.16.xlsx / 关键词词库-90 40 行125</x:v>
      </x:c>
    </x:row>
    <x:row r="240" ht="30" customHeight="1">
      <x:c r="A240" s="7" t="str">
        <x:v>K235</x:v>
      </x:c>
      <x:c r="B240" s="7" t="str">
        <x:v>logitech mauspad</x:v>
      </x:c>
      <x:c r="C240" s="7" t="str">
        <x:v>竞品品牌</x:v>
      </x:c>
      <x:c r="D240" s="7" t="str">
        <x:v>保留待核验</x:v>
      </x:c>
      <x:c r="E240" s="7" t="str">
        <x:v>否</x:v>
      </x:c>
      <x:c r="F240" s="31"/>
      <x:c r="G240" s="31" t="n">
        <x:v>1117</x:v>
      </x:c>
      <x:c r="H240" s="32" t="str">
        <x:v>周搜索量，日期及来源待核；首条原记录</x:v>
      </x:c>
      <x:c r="I240" s="12"/>
      <x:c r="J240" s="7" t="str">
        <x:v>首轮不验证竞品品牌意图；可另设专项，不能当自有品牌</x:v>
      </x:c>
      <x:c r="K240" s="7" t="str">
        <x:v>鼠标垫推广跟进表格-2025.08.16.xlsx / 关键词词库-90 40 行120
鼠标垫推广跟进表格-2025.08.16.xlsx / 关键词词库-小尺寸加护托 行59</x:v>
      </x:c>
    </x:row>
    <x:row r="241" ht="30" customHeight="1">
      <x:c r="A241" s="7" t="str">
        <x:v>K236</x:v>
      </x:c>
      <x:c r="B241" s="7" t="str">
        <x:v>logitech mouse pad</x:v>
      </x:c>
      <x:c r="C241" s="7" t="str">
        <x:v>竞品品牌</x:v>
      </x:c>
      <x:c r="D241" s="7" t="str">
        <x:v>保留待核验</x:v>
      </x:c>
      <x:c r="E241" s="7" t="str">
        <x:v>否</x:v>
      </x:c>
      <x:c r="F241" s="31"/>
      <x:c r="G241" s="31" t="n">
        <x:v>96</x:v>
      </x:c>
      <x:c r="H241" s="32" t="str">
        <x:v>周搜索量，日期及来源待核；首条原记录</x:v>
      </x:c>
      <x:c r="I241" s="12"/>
      <x:c r="J241" s="7" t="str">
        <x:v>首轮不验证竞品品牌意图；可另设专项，不能当自有品牌</x:v>
      </x:c>
      <x:c r="K241" s="7" t="str">
        <x:v>鼠标垫推广跟进表格-2025.08.16.xlsx / 关键词词库-90 40 行150
鼠标垫推广跟进表格-2025.08.16.xlsx / 关键词词库-小尺寸加护托 行65</x:v>
      </x:c>
    </x:row>
    <x:row r="242" ht="30" customHeight="1">
      <x:c r="A242" s="7" t="str">
        <x:v>K237</x:v>
      </x:c>
      <x:c r="B242" s="7" t="str">
        <x:v>logitech mousepad</x:v>
      </x:c>
      <x:c r="C242" s="7" t="str">
        <x:v>竞品品牌</x:v>
      </x:c>
      <x:c r="D242" s="7" t="str">
        <x:v>保留待核验</x:v>
      </x:c>
      <x:c r="E242" s="7" t="str">
        <x:v>否</x:v>
      </x:c>
      <x:c r="F242" s="31"/>
      <x:c r="G242" s="31" t="n">
        <x:v>628</x:v>
      </x:c>
      <x:c r="H242" s="32" t="str">
        <x:v>周搜索量，日期及来源待核；首条原记录</x:v>
      </x:c>
      <x:c r="I242" s="12"/>
      <x:c r="J242" s="7" t="str">
        <x:v>首轮不验证竞品品牌意图；可另设专项，不能当自有品牌</x:v>
      </x:c>
      <x:c r="K242" s="7" t="str">
        <x:v>鼠标垫推广跟进表格-2025.08.16.xlsx / 关键词词库-90 40 行126
鼠标垫推广跟进表格-2025.08.16.xlsx / 关键词词库-小尺寸加护托 行61</x:v>
      </x:c>
    </x:row>
    <x:row r="243" ht="30" customHeight="1">
      <x:c r="A243" s="7" t="str">
        <x:v>K238</x:v>
      </x:c>
      <x:c r="B243" s="7" t="str">
        <x:v>maus pad pc</x:v>
      </x:c>
      <x:c r="C243" s="7" t="str">
        <x:v>品类或桌面场景</x:v>
      </x:c>
      <x:c r="D243" s="7" t="str">
        <x:v>候选</x:v>
      </x:c>
      <x:c r="E243" s="7" t="str">
        <x:v>否</x:v>
      </x:c>
      <x:c r="F243" s="31"/>
      <x:c r="G243" s="31"/>
      <x:c r="H243" s="32" t="str">
        <x:v>无量记录</x:v>
      </x:c>
      <x:c r="I243" s="12"/>
      <x:c r="J243" s="7" t="str">
        <x:v>品类/桌面使用相关；宽泛桌垫词需小范围测试</x:v>
      </x:c>
      <x:c r="K243" s="7" t="str">
        <x:v>鼠标垫推广跟进表格-2025.08.16.xlsx / 关键词词库-小尺寸加护托 行26</x:v>
      </x:c>
    </x:row>
    <x:row r="244" ht="30" customHeight="1">
      <x:c r="A244" s="7" t="str">
        <x:v>K239</x:v>
      </x:c>
      <x:c r="B244" s="7" t="str">
        <x:v>maus unterlage schreibtisch</x:v>
      </x:c>
      <x:c r="C244" s="7" t="str">
        <x:v>品类或桌面场景</x:v>
      </x:c>
      <x:c r="D244" s="7" t="str">
        <x:v>候选</x:v>
      </x:c>
      <x:c r="E244" s="7" t="str">
        <x:v>否</x:v>
      </x:c>
      <x:c r="F244" s="31"/>
      <x:c r="G244" s="31" t="n">
        <x:v>93</x:v>
      </x:c>
      <x:c r="H244" s="32" t="str">
        <x:v>周搜索量，日期及来源待核；首条原记录</x:v>
      </x:c>
      <x:c r="I244" s="12"/>
      <x:c r="J244" s="7" t="str">
        <x:v>品类/桌面使用相关；宽泛桌垫词需小范围测试</x:v>
      </x:c>
      <x:c r="K244" s="7" t="str">
        <x:v>鼠标垫推广跟进表格-2025.08.16.xlsx / 关键词词库-90 40 行219</x:v>
      </x:c>
    </x:row>
    <x:row r="245" ht="30" customHeight="1">
      <x:c r="A245" s="7" t="str">
        <x:v>K240</x:v>
      </x:c>
      <x:c r="B245" s="7" t="str">
        <x:v>maus unterlagen</x:v>
      </x:c>
      <x:c r="C245" s="7" t="str">
        <x:v>品类或桌面场景</x:v>
      </x:c>
      <x:c r="D245" s="7" t="str">
        <x:v>候选</x:v>
      </x:c>
      <x:c r="E245" s="7" t="str">
        <x:v>否</x:v>
      </x:c>
      <x:c r="F245" s="31"/>
      <x:c r="G245" s="31"/>
      <x:c r="H245" s="32" t="str">
        <x:v>无量记录</x:v>
      </x:c>
      <x:c r="I245" s="12"/>
      <x:c r="J245" s="7" t="str">
        <x:v>品类/桌面使用相关；宽泛桌垫词需小范围测试</x:v>
      </x:c>
      <x:c r="K245" s="7" t="str">
        <x:v>鼠标垫推广跟进表格-2025.08.16.xlsx / 关键词词库-90 40 行222</x:v>
      </x:c>
    </x:row>
    <x:row r="246" ht="30" customHeight="1">
      <x:c r="A246" s="7" t="str">
        <x:v>K241</x:v>
      </x:c>
      <x:c r="B246" s="7" t="str">
        <x:v>mausepad</x:v>
      </x:c>
      <x:c r="C246" s="7" t="str">
        <x:v>错拼变体</x:v>
      </x:c>
      <x:c r="D246" s="7" t="str">
        <x:v>保留待核验</x:v>
      </x:c>
      <x:c r="E246" s="7" t="str">
        <x:v>否</x:v>
      </x:c>
      <x:c r="F246" s="31"/>
      <x:c r="G246" s="31" t="n">
        <x:v>102</x:v>
      </x:c>
      <x:c r="H246" s="32" t="str">
        <x:v>搜索量，日期及来源待核；首条原记录</x:v>
      </x:c>
      <x:c r="I246" s="12"/>
      <x:c r="J246" s="7" t="str">
        <x:v>错拼不主动铺设；以实际查询表现决定</x:v>
      </x:c>
      <x:c r="K246" s="7" t="str">
        <x:v>鼠标垫推广跟进表格-2025.08.16.xlsx / 关键词词库-90 40 行13</x:v>
      </x:c>
    </x:row>
    <x:row r="247" ht="30" customHeight="1">
      <x:c r="A247" s="7" t="str">
        <x:v>K242</x:v>
      </x:c>
      <x:c r="B247" s="7" t="str">
        <x:v>mauspad 1000x500</x:v>
      </x:c>
      <x:c r="C247" s="7" t="str">
        <x:v>其他尺寸</x:v>
      </x:c>
      <x:c r="D247" s="7" t="str">
        <x:v>首轮不投</x:v>
      </x:c>
      <x:c r="E247" s="7" t="str">
        <x:v>否</x:v>
      </x:c>
      <x:c r="F247" s="31"/>
      <x:c r="G247" s="31" t="n">
        <x:v>215</x:v>
      </x:c>
      <x:c r="H247" s="32" t="str">
        <x:v>周搜索量，日期及来源待核；首条原记录</x:v>
      </x:c>
      <x:c r="I247" s="12"/>
      <x:c r="J247" s="7" t="str">
        <x:v>尺寸不匹配900×400 mm</x:v>
      </x:c>
      <x:c r="K247" s="7" t="str">
        <x:v>鼠标垫推广跟进表格-2025.08.16.xlsx / 关键词词库-90 40 行81</x:v>
      </x:c>
    </x:row>
    <x:row r="248" ht="30" customHeight="1">
      <x:c r="A248" s="7" t="str">
        <x:v>K243</x:v>
      </x:c>
      <x:c r="B248" s="7" t="str">
        <x:v>mauspad 1200x400</x:v>
      </x:c>
      <x:c r="C248" s="7" t="str">
        <x:v>其他尺寸</x:v>
      </x:c>
      <x:c r="D248" s="7" t="str">
        <x:v>首轮不投</x:v>
      </x:c>
      <x:c r="E248" s="7" t="str">
        <x:v>否</x:v>
      </x:c>
      <x:c r="F248" s="31"/>
      <x:c r="G248" s="31" t="n">
        <x:v>105</x:v>
      </x:c>
      <x:c r="H248" s="32" t="str">
        <x:v>周搜索量，日期及来源待核；首条原记录</x:v>
      </x:c>
      <x:c r="I248" s="12"/>
      <x:c r="J248" s="7" t="str">
        <x:v>尺寸不匹配900×400 mm</x:v>
      </x:c>
      <x:c r="K248" s="7" t="str">
        <x:v>鼠标垫推广跟进表格-2025.08.16.xlsx / 关键词词库-90 40 行73</x:v>
      </x:c>
    </x:row>
    <x:row r="249" ht="30" customHeight="1">
      <x:c r="A249" s="7" t="str">
        <x:v>K244</x:v>
      </x:c>
      <x:c r="B249" s="7" t="str">
        <x:v>mauspad 1200x600</x:v>
      </x:c>
      <x:c r="C249" s="7" t="str">
        <x:v>1200版尺寸</x:v>
      </x:c>
      <x:c r="D249" s="7" t="str">
        <x:v>其他尺寸单独处理</x:v>
      </x:c>
      <x:c r="E249" s="7" t="str">
        <x:v>否</x:v>
      </x:c>
      <x:c r="F249" s="31"/>
      <x:c r="G249" s="31" t="n">
        <x:v>1250</x:v>
      </x:c>
      <x:c r="H249" s="32" t="str">
        <x:v>周搜索量，日期及来源待核；首条原记录</x:v>
      </x:c>
      <x:c r="I249" s="12"/>
      <x:c r="J249" s="7" t="str">
        <x:v>属于1200版，不进入本轮900版</x:v>
      </x:c>
      <x:c r="K249" s="7" t="str">
        <x:v>鼠标垫推广跟进表格-2025.08.16.xlsx / 关键词词库-90 40 行20,80</x:v>
      </x:c>
    </x:row>
    <x:row r="250" ht="30" customHeight="1">
      <x:c r="A250" s="7" t="str">
        <x:v>K245</x:v>
      </x:c>
      <x:c r="B250" s="7" t="str">
        <x:v>mauspad 900x500</x:v>
      </x:c>
      <x:c r="C250" s="7" t="str">
        <x:v>其他尺寸</x:v>
      </x:c>
      <x:c r="D250" s="7" t="str">
        <x:v>首轮不投</x:v>
      </x:c>
      <x:c r="E250" s="7" t="str">
        <x:v>否</x:v>
      </x:c>
      <x:c r="F250" s="31"/>
      <x:c r="G250" s="31" t="n">
        <x:v>162</x:v>
      </x:c>
      <x:c r="H250" s="32" t="str">
        <x:v>周搜索量，日期及来源待核；首条原记录</x:v>
      </x:c>
      <x:c r="I250" s="12"/>
      <x:c r="J250" s="7" t="str">
        <x:v>尺寸不匹配900×400 mm</x:v>
      </x:c>
      <x:c r="K250" s="7" t="str">
        <x:v>鼠标垫推广跟进表格-2025.08.16.xlsx / 关键词词库-90 40 行69</x:v>
      </x:c>
    </x:row>
    <x:row r="251" ht="30" customHeight="1">
      <x:c r="A251" s="7" t="str">
        <x:v>K246</x:v>
      </x:c>
      <x:c r="B251" s="7" t="str">
        <x:v>mauspad amazon</x:v>
      </x:c>
      <x:c r="C251" s="7" t="str">
        <x:v>竞品品牌</x:v>
      </x:c>
      <x:c r="D251" s="7" t="str">
        <x:v>保留待核验</x:v>
      </x:c>
      <x:c r="E251" s="7" t="str">
        <x:v>否</x:v>
      </x:c>
      <x:c r="F251" s="31"/>
      <x:c r="G251" s="31" t="n">
        <x:v>121</x:v>
      </x:c>
      <x:c r="H251" s="32" t="str">
        <x:v>周搜索量，日期及来源待核；首条原记录</x:v>
      </x:c>
      <x:c r="I251" s="12"/>
      <x:c r="J251" s="7" t="str">
        <x:v>首轮不验证竞品品牌意图；可另设专项，不能当自有品牌</x:v>
      </x:c>
      <x:c r="K251" s="7" t="str">
        <x:v>鼠标垫推广跟进表格-2025.08.16.xlsx / 关键词词库-90 40 行136</x:v>
      </x:c>
    </x:row>
    <x:row r="252" ht="30" customHeight="1">
      <x:c r="A252" s="7" t="str">
        <x:v>K247</x:v>
      </x:c>
      <x:c r="B252" s="7" t="str">
        <x:v>mauspad anime</x:v>
      </x:c>
      <x:c r="C252" s="7" t="str">
        <x:v>动漫风格待验证</x:v>
      </x:c>
      <x:c r="D252" s="7" t="str">
        <x:v>保留待核验</x:v>
      </x:c>
      <x:c r="E252" s="7" t="str">
        <x:v>否</x:v>
      </x:c>
      <x:c r="F252" s="31"/>
      <x:c r="G252" s="31" t="n">
        <x:v>470</x:v>
      </x:c>
      <x:c r="H252" s="32" t="str">
        <x:v>周搜索量，日期及来源待核；首条原记录</x:v>
      </x:c>
      <x:c r="I252" s="12"/>
      <x:c r="J252" s="7" t="str">
        <x:v>武士插画不等于特定动漫/授权IP；另作相关性验证</x:v>
      </x:c>
      <x:c r="K252" s="7" t="str">
        <x:v>鼠标垫推广跟进表格-2025.08.16.xlsx / 关键词词库-90 40 行181
鼠标垫推广跟进表格-2025.08.16.xlsx / 2026.08.07梳理ST关键词 行3</x:v>
      </x:c>
    </x:row>
    <x:row r="253" ht="30" customHeight="1">
      <x:c r="A253" s="7" t="str">
        <x:v>K248</x:v>
      </x:c>
      <x:c r="B253" s="7" t="str">
        <x:v>mauspad black japanese</x:v>
      </x:c>
      <x:c r="C253" s="7" t="str">
        <x:v>日式武士图案</x:v>
      </x:c>
      <x:c r="D253" s="7" t="str">
        <x:v>小范围验证</x:v>
      </x:c>
      <x:c r="E253" s="7" t="str">
        <x:v>否</x:v>
      </x:c>
      <x:c r="F253" s="31"/>
      <x:c r="G253" s="31"/>
      <x:c r="H253" s="32" t="str">
        <x:v>无量记录</x:v>
      </x:c>
      <x:c r="I253" s="12"/>
      <x:c r="J253" s="7" t="str">
        <x:v>图案相关；当前搜索量及转化未验证</x:v>
      </x:c>
      <x:c r="K253" s="7" t="str">
        <x:v>鼠标垫推广跟进表格-2025.08.16.xlsx / 2026.08.07梳理ST关键词 行20</x:v>
      </x:c>
    </x:row>
    <x:row r="254" ht="30" customHeight="1">
      <x:c r="A254" s="7" t="str">
        <x:v>K249</x:v>
      </x:c>
      <x:c r="B254" s="7" t="str">
        <x:v>mauspad ergonomisch</x:v>
      </x:c>
      <x:c r="C254" s="7" t="str">
        <x:v>不符结构或功能</x:v>
      </x:c>
      <x:c r="D254" s="7" t="str">
        <x:v>排除候选，确认产品事实</x:v>
      </x:c>
      <x:c r="E254" s="7" t="str">
        <x:v>否</x:v>
      </x:c>
      <x:c r="F254" s="31"/>
      <x:c r="G254" s="31"/>
      <x:c r="H254" s="32" t="str">
        <x:v>无量记录</x:v>
      </x:c>
      <x:c r="I254" s="12"/>
      <x:c r="J254" s="7" t="str">
        <x:v>与平面月下武士桌垫不符或特定结构/功能未经证实</x:v>
      </x:c>
      <x:c r="K254" s="7" t="str">
        <x:v>鼠标垫推广跟进表格-2025.08.16.xlsx / 关键词词库-小尺寸加护托 行11</x:v>
      </x:c>
    </x:row>
    <x:row r="255" ht="30" customHeight="1">
      <x:c r="A255" s="7" t="str">
        <x:v>K250</x:v>
      </x:c>
      <x:c r="B255" s="7" t="str">
        <x:v>mauspad ergonomisch handgelenk</x:v>
      </x:c>
      <x:c r="C255" s="7" t="str">
        <x:v>不符结构或功能</x:v>
      </x:c>
      <x:c r="D255" s="7" t="str">
        <x:v>排除候选，确认产品事实</x:v>
      </x:c>
      <x:c r="E255" s="7" t="str">
        <x:v>否</x:v>
      </x:c>
      <x:c r="F255" s="31"/>
      <x:c r="G255" s="31"/>
      <x:c r="H255" s="32" t="str">
        <x:v>无量记录</x:v>
      </x:c>
      <x:c r="I255" s="12"/>
      <x:c r="J255" s="7" t="str">
        <x:v>与平面月下武士桌垫不符或特定结构/功能未经证实</x:v>
      </x:c>
      <x:c r="K255" s="7" t="str">
        <x:v>鼠标垫推广跟进表格-2025.08.16.xlsx / 关键词词库-小尺寸加护托 行30</x:v>
      </x:c>
    </x:row>
    <x:row r="256" ht="30" customHeight="1">
      <x:c r="A256" s="7" t="str">
        <x:v>K251</x:v>
      </x:c>
      <x:c r="B256" s="7" t="str">
        <x:v>mauspad gaming weiß</x:v>
      </x:c>
      <x:c r="C256" s="7" t="str">
        <x:v>其他颜色</x:v>
      </x:c>
      <x:c r="D256" s="7" t="str">
        <x:v>首轮不投</x:v>
      </x:c>
      <x:c r="E256" s="7" t="str">
        <x:v>否</x:v>
      </x:c>
      <x:c r="F256" s="31"/>
      <x:c r="G256" s="31"/>
      <x:c r="H256" s="32" t="str">
        <x:v>无量记录</x:v>
      </x:c>
      <x:c r="I256" s="12"/>
      <x:c r="J256" s="7" t="str">
        <x:v>非本品黑灰红粉主色；不把所有白色相关短词统一否定</x:v>
      </x:c>
      <x:c r="K256" s="7" t="str">
        <x:v>鼠标垫推广跟进表格-2025.08.16.xlsx / 关键词词库-90 40 行115,167</x:v>
      </x:c>
    </x:row>
    <x:row r="257" ht="30" customHeight="1">
      <x:c r="A257" s="7" t="str">
        <x:v>K252</x:v>
      </x:c>
      <x:c r="B257" s="7" t="str">
        <x:v>mauspad gel</x:v>
      </x:c>
      <x:c r="C257" s="7" t="str">
        <x:v>不符结构或功能</x:v>
      </x:c>
      <x:c r="D257" s="7" t="str">
        <x:v>排除候选，确认产品事实</x:v>
      </x:c>
      <x:c r="E257" s="7" t="str">
        <x:v>否</x:v>
      </x:c>
      <x:c r="F257" s="31"/>
      <x:c r="G257" s="31"/>
      <x:c r="H257" s="32" t="str">
        <x:v>无量记录</x:v>
      </x:c>
      <x:c r="I257" s="12"/>
      <x:c r="J257" s="7" t="str">
        <x:v>与平面月下武士桌垫不符或特定结构/功能未经证实</x:v>
      </x:c>
      <x:c r="K257" s="7" t="str">
        <x:v>鼠标垫推广跟进表格-2025.08.16.xlsx / 关键词词库-小尺寸加护托 行23</x:v>
      </x:c>
    </x:row>
    <x:row r="258" ht="30" customHeight="1">
      <x:c r="A258" s="7" t="str">
        <x:v>K253</x:v>
      </x:c>
      <x:c r="B258" s="7" t="str">
        <x:v>mauspad gel handauflage</x:v>
      </x:c>
      <x:c r="C258" s="7" t="str">
        <x:v>不符结构或功能</x:v>
      </x:c>
      <x:c r="D258" s="7" t="str">
        <x:v>排除候选，确认产品事实</x:v>
      </x:c>
      <x:c r="E258" s="7" t="str">
        <x:v>否</x:v>
      </x:c>
      <x:c r="F258" s="31"/>
      <x:c r="G258" s="31"/>
      <x:c r="H258" s="32" t="str">
        <x:v>无量记录</x:v>
      </x:c>
      <x:c r="I258" s="12"/>
      <x:c r="J258" s="7" t="str">
        <x:v>与平面月下武士桌垫不符或特定结构/功能未经证实</x:v>
      </x:c>
      <x:c r="K258" s="7" t="str">
        <x:v>鼠标垫推广跟进表格-2025.08.16.xlsx / 关键词词库-小尺寸加护托 行46</x:v>
      </x:c>
    </x:row>
    <x:row r="259" ht="30" customHeight="1">
      <x:c r="A259" s="7" t="str">
        <x:v>K254</x:v>
      </x:c>
      <x:c r="B259" s="7" t="str">
        <x:v>mauspad gelkissen</x:v>
      </x:c>
      <x:c r="C259" s="7" t="str">
        <x:v>不符结构或功能</x:v>
      </x:c>
      <x:c r="D259" s="7" t="str">
        <x:v>排除候选，确认产品事实</x:v>
      </x:c>
      <x:c r="E259" s="7" t="str">
        <x:v>否</x:v>
      </x:c>
      <x:c r="F259" s="31"/>
      <x:c r="G259" s="31"/>
      <x:c r="H259" s="32" t="str">
        <x:v>无量记录</x:v>
      </x:c>
      <x:c r="I259" s="12"/>
      <x:c r="J259" s="7" t="str">
        <x:v>与平面月下武士桌垫不符或特定结构/功能未经证实</x:v>
      </x:c>
      <x:c r="K259" s="7" t="str">
        <x:v>鼠标垫推广跟进表格-2025.08.16.xlsx / 关键词词库-小尺寸加护托 行31</x:v>
      </x:c>
    </x:row>
    <x:row r="260" ht="30" customHeight="1">
      <x:c r="A260" s="7" t="str">
        <x:v>K255</x:v>
      </x:c>
      <x:c r="B260" s="7" t="str">
        <x:v>mauspad handauflage</x:v>
      </x:c>
      <x:c r="C260" s="7" t="str">
        <x:v>不符结构或功能</x:v>
      </x:c>
      <x:c r="D260" s="7" t="str">
        <x:v>排除候选，确认产品事实</x:v>
      </x:c>
      <x:c r="E260" s="7" t="str">
        <x:v>否</x:v>
      </x:c>
      <x:c r="F260" s="31"/>
      <x:c r="G260" s="31"/>
      <x:c r="H260" s="32" t="str">
        <x:v>无量记录</x:v>
      </x:c>
      <x:c r="I260" s="12"/>
      <x:c r="J260" s="7" t="str">
        <x:v>与平面月下武士桌垫不符或特定结构/功能未经证实</x:v>
      </x:c>
      <x:c r="K260" s="7" t="str">
        <x:v>鼠标垫推广跟进表格-2025.08.16.xlsx / 关键词词库-小尺寸加护托 行43</x:v>
      </x:c>
    </x:row>
    <x:row r="261" ht="30" customHeight="1">
      <x:c r="A261" s="7" t="str">
        <x:v>K256</x:v>
      </x:c>
      <x:c r="B261" s="7" t="str">
        <x:v>mauspad handauflage gel</x:v>
      </x:c>
      <x:c r="C261" s="7" t="str">
        <x:v>不符结构或功能</x:v>
      </x:c>
      <x:c r="D261" s="7" t="str">
        <x:v>排除候选，确认产品事实</x:v>
      </x:c>
      <x:c r="E261" s="7" t="str">
        <x:v>否</x:v>
      </x:c>
      <x:c r="F261" s="31"/>
      <x:c r="G261" s="31"/>
      <x:c r="H261" s="32" t="str">
        <x:v>无量记录</x:v>
      </x:c>
      <x:c r="I261" s="12"/>
      <x:c r="J261" s="7" t="str">
        <x:v>与平面月下武士桌垫不符或特定结构/功能未经证实</x:v>
      </x:c>
      <x:c r="K261" s="7" t="str">
        <x:v>鼠标垫推广跟进表格-2025.08.16.xlsx / 关键词词库-小尺寸加护托 行45</x:v>
      </x:c>
    </x:row>
    <x:row r="262" ht="30" customHeight="1">
      <x:c r="A262" s="7" t="str">
        <x:v>K257</x:v>
      </x:c>
      <x:c r="B262" s="7" t="str">
        <x:v>mauspad handgelenkauflage</x:v>
      </x:c>
      <x:c r="C262" s="7" t="str">
        <x:v>不符结构或功能</x:v>
      </x:c>
      <x:c r="D262" s="7" t="str">
        <x:v>排除候选，确认产品事实</x:v>
      </x:c>
      <x:c r="E262" s="7" t="str">
        <x:v>否</x:v>
      </x:c>
      <x:c r="F262" s="31"/>
      <x:c r="G262" s="31"/>
      <x:c r="H262" s="32" t="str">
        <x:v>无量记录</x:v>
      </x:c>
      <x:c r="I262" s="12"/>
      <x:c r="J262" s="7" t="str">
        <x:v>与平面月下武士桌垫不符或特定结构/功能未经证实</x:v>
      </x:c>
      <x:c r="K262" s="7" t="str">
        <x:v>鼠标垫推广跟进表格-2025.08.16.xlsx / 关键词词库-小尺寸加护托 行53</x:v>
      </x:c>
    </x:row>
    <x:row r="263" ht="30" customHeight="1">
      <x:c r="A263" s="7" t="str">
        <x:v>K258</x:v>
      </x:c>
      <x:c r="B263" s="7" t="str">
        <x:v>mauspad japan style</x:v>
      </x:c>
      <x:c r="C263" s="7" t="str">
        <x:v>日式武士图案</x:v>
      </x:c>
      <x:c r="D263" s="7" t="str">
        <x:v>小范围验证</x:v>
      </x:c>
      <x:c r="E263" s="7" t="str">
        <x:v>是</x:v>
      </x:c>
      <x:c r="F263" s="31"/>
      <x:c r="G263" s="31" t="n">
        <x:v>77</x:v>
      </x:c>
      <x:c r="H263" s="32" t="str">
        <x:v>周搜索量，日期及来源待核；首条原记录</x:v>
      </x:c>
      <x:c r="I263" s="12"/>
      <x:c r="J263" s="7" t="str">
        <x:v>图案相关；当前搜索量及转化未验证</x:v>
      </x:c>
      <x:c r="K263" s="7" t="str">
        <x:v>鼠标垫推广跟进表格-2025.08.16.xlsx / 关键词词库-90 40 行185</x:v>
      </x:c>
    </x:row>
    <x:row r="264" ht="30" customHeight="1">
      <x:c r="A264" s="7" t="str">
        <x:v>K259</x:v>
      </x:c>
      <x:c r="B264" s="7" t="str">
        <x:v>mauspad japanese</x:v>
      </x:c>
      <x:c r="C264" s="7" t="str">
        <x:v>日式武士图案</x:v>
      </x:c>
      <x:c r="D264" s="7" t="str">
        <x:v>小范围验证</x:v>
      </x:c>
      <x:c r="E264" s="7" t="str">
        <x:v>否</x:v>
      </x:c>
      <x:c r="F264" s="31"/>
      <x:c r="G264" s="31"/>
      <x:c r="H264" s="32" t="str">
        <x:v>无量记录</x:v>
      </x:c>
      <x:c r="I264" s="12"/>
      <x:c r="J264" s="7" t="str">
        <x:v>图案相关；当前搜索量及转化未验证</x:v>
      </x:c>
      <x:c r="K264" s="7" t="str">
        <x:v>鼠标垫推广跟进表格-2025.08.16.xlsx / 2026.08.07梳理ST关键词 行31</x:v>
      </x:c>
    </x:row>
    <x:row r="265" ht="30" customHeight="1">
      <x:c r="A265" s="7" t="str">
        <x:v>K260</x:v>
      </x:c>
      <x:c r="B265" s="7" t="str">
        <x:v>mauspad japanisch</x:v>
      </x:c>
      <x:c r="C265" s="7" t="str">
        <x:v>日式武士图案</x:v>
      </x:c>
      <x:c r="D265" s="7" t="str">
        <x:v>小范围验证</x:v>
      </x:c>
      <x:c r="E265" s="7" t="str">
        <x:v>是</x:v>
      </x:c>
      <x:c r="F265" s="31"/>
      <x:c r="G265" s="31"/>
      <x:c r="H265" s="32" t="str">
        <x:v>无量记录</x:v>
      </x:c>
      <x:c r="I265" s="12"/>
      <x:c r="J265" s="7" t="str">
        <x:v>图案相关；当前搜索量及转化未验证</x:v>
      </x:c>
      <x:c r="K265" s="7" t="str">
        <x:v>鼠标垫推广跟进表格-2025.08.16.xlsx / 2026.08.07梳理ST关键词 行8</x:v>
      </x:c>
    </x:row>
    <x:row r="266" ht="30" customHeight="1">
      <x:c r="A266" s="7" t="str">
        <x:v>K261</x:v>
      </x:c>
      <x:c r="B266" s="7" t="str">
        <x:v>mauspad klein</x:v>
      </x:c>
      <x:c r="C266" s="7" t="str">
        <x:v>品类或桌面场景</x:v>
      </x:c>
      <x:c r="D266" s="7" t="str">
        <x:v>候选</x:v>
      </x:c>
      <x:c r="E266" s="7" t="str">
        <x:v>否</x:v>
      </x:c>
      <x:c r="F266" s="31"/>
      <x:c r="G266" s="31"/>
      <x:c r="H266" s="32" t="str">
        <x:v>无量记录</x:v>
      </x:c>
      <x:c r="I266" s="12"/>
      <x:c r="J266" s="7" t="str">
        <x:v>品类/桌面使用相关；宽泛桌垫词需小范围测试</x:v>
      </x:c>
      <x:c r="K266" s="7" t="str">
        <x:v>鼠标垫推广跟进表格-2025.08.16.xlsx / 关键词词库-小尺寸加护托 行17</x:v>
      </x:c>
    </x:row>
    <x:row r="267" ht="30" customHeight="1">
      <x:c r="A267" s="7" t="str">
        <x:v>K262</x:v>
      </x:c>
      <x:c r="B267" s="7" t="str">
        <x:v>mauspad logitech</x:v>
      </x:c>
      <x:c r="C267" s="7" t="str">
        <x:v>竞品品牌</x:v>
      </x:c>
      <x:c r="D267" s="7" t="str">
        <x:v>保留待核验</x:v>
      </x:c>
      <x:c r="E267" s="7" t="str">
        <x:v>否</x:v>
      </x:c>
      <x:c r="F267" s="31"/>
      <x:c r="G267" s="31" t="n">
        <x:v>491</x:v>
      </x:c>
      <x:c r="H267" s="32" t="str">
        <x:v>周搜索量，日期及来源待核；首条原记录</x:v>
      </x:c>
      <x:c r="I267" s="12"/>
      <x:c r="J267" s="7" t="str">
        <x:v>首轮不验证竞品品牌意图；可另设专项，不能当自有品牌</x:v>
      </x:c>
      <x:c r="K267" s="7" t="str">
        <x:v>鼠标垫推广跟进表格-2025.08.16.xlsx / 关键词词库-90 40 行147
鼠标垫推广跟进表格-2025.08.16.xlsx / 关键词词库-小尺寸加护托 行60</x:v>
      </x:c>
    </x:row>
    <x:row r="268" ht="30" customHeight="1">
      <x:c r="A268" s="7" t="str">
        <x:v>K263</x:v>
      </x:c>
      <x:c r="B268" s="7" t="str">
        <x:v>mauspad mit gelkissen</x:v>
      </x:c>
      <x:c r="C268" s="7" t="str">
        <x:v>不符结构或功能</x:v>
      </x:c>
      <x:c r="D268" s="7" t="str">
        <x:v>排除候选，确认产品事实</x:v>
      </x:c>
      <x:c r="E268" s="7" t="str">
        <x:v>否</x:v>
      </x:c>
      <x:c r="F268" s="31"/>
      <x:c r="G268" s="31"/>
      <x:c r="H268" s="32" t="str">
        <x:v>无量记录</x:v>
      </x:c>
      <x:c r="I268" s="12"/>
      <x:c r="J268" s="7" t="str">
        <x:v>与平面月下武士桌垫不符或特定结构/功能未经证实</x:v>
      </x:c>
      <x:c r="K268" s="7" t="str">
        <x:v>鼠标垫推广跟进表格-2025.08.16.xlsx / 关键词词库-小尺寸加护托 行5</x:v>
      </x:c>
    </x:row>
    <x:row r="269" ht="30" customHeight="1">
      <x:c r="A269" s="7" t="str">
        <x:v>K264</x:v>
      </x:c>
      <x:c r="B269" s="7" t="str">
        <x:v>mauspad mit handauflage</x:v>
      </x:c>
      <x:c r="C269" s="7" t="str">
        <x:v>不符结构或功能</x:v>
      </x:c>
      <x:c r="D269" s="7" t="str">
        <x:v>排除候选，确认产品事实</x:v>
      </x:c>
      <x:c r="E269" s="7" t="str">
        <x:v>否</x:v>
      </x:c>
      <x:c r="F269" s="31"/>
      <x:c r="G269" s="31"/>
      <x:c r="H269" s="32" t="str">
        <x:v>无量记录</x:v>
      </x:c>
      <x:c r="I269" s="12"/>
      <x:c r="J269" s="7" t="str">
        <x:v>与平面月下武士桌垫不符或特定结构/功能未经证实</x:v>
      </x:c>
      <x:c r="K269" s="7" t="str">
        <x:v>鼠标垫推广跟进表格-2025.08.16.xlsx / 关键词词库-小尺寸加护托 行20</x:v>
      </x:c>
    </x:row>
    <x:row r="270" ht="30" customHeight="1">
      <x:c r="A270" s="7" t="str">
        <x:v>K265</x:v>
      </x:c>
      <x:c r="B270" s="7" t="str">
        <x:v>mauspad mit handgelenkauflage</x:v>
      </x:c>
      <x:c r="C270" s="7" t="str">
        <x:v>不符结构或功能</x:v>
      </x:c>
      <x:c r="D270" s="7" t="str">
        <x:v>排除候选，确认产品事实</x:v>
      </x:c>
      <x:c r="E270" s="7" t="str">
        <x:v>否</x:v>
      </x:c>
      <x:c r="F270" s="31"/>
      <x:c r="G270" s="31"/>
      <x:c r="H270" s="32" t="str">
        <x:v>无量记录</x:v>
      </x:c>
      <x:c r="I270" s="12"/>
      <x:c r="J270" s="7" t="str">
        <x:v>与平面月下武士桌垫不符或特定结构/功能未经证实</x:v>
      </x:c>
      <x:c r="K270" s="7" t="str">
        <x:v>鼠标垫推广跟进表格-2025.08.16.xlsx / 关键词词库-小尺寸加护托 行34</x:v>
      </x:c>
    </x:row>
    <x:row r="271" ht="30" customHeight="1">
      <x:c r="A271" s="7" t="str">
        <x:v>K266</x:v>
      </x:c>
      <x:c r="B271" s="7" t="str">
        <x:v>mauspad nyfter</x:v>
      </x:c>
      <x:c r="C271" s="7" t="str">
        <x:v>竞品品牌</x:v>
      </x:c>
      <x:c r="D271" s="7" t="str">
        <x:v>保留待核验</x:v>
      </x:c>
      <x:c r="E271" s="7" t="str">
        <x:v>否</x:v>
      </x:c>
      <x:c r="F271" s="31"/>
      <x:c r="G271" s="31"/>
      <x:c r="H271" s="32" t="str">
        <x:v>无量记录</x:v>
      </x:c>
      <x:c r="I271" s="12"/>
      <x:c r="J271" s="7" t="str">
        <x:v>首轮不验证竞品品牌意图；可另设专项，不能当自有品牌</x:v>
      </x:c>
      <x:c r="K271" s="7" t="str">
        <x:v>鼠标垫推广跟进表格-2025.08.16.xlsx / 关键词词库-小尺寸加护托 行67</x:v>
      </x:c>
    </x:row>
    <x:row r="272" ht="30" customHeight="1">
      <x:c r="A272" s="7" t="str">
        <x:v>K267</x:v>
      </x:c>
      <x:c r="B272" s="7" t="str">
        <x:v>mauspad samurai</x:v>
      </x:c>
      <x:c r="C272" s="7" t="str">
        <x:v>日式武士图案</x:v>
      </x:c>
      <x:c r="D272" s="7" t="str">
        <x:v>小范围验证</x:v>
      </x:c>
      <x:c r="E272" s="7" t="str">
        <x:v>是</x:v>
      </x:c>
      <x:c r="F272" s="31"/>
      <x:c r="G272" s="31"/>
      <x:c r="H272" s="32" t="str">
        <x:v>无量记录</x:v>
      </x:c>
      <x:c r="I272" s="12"/>
      <x:c r="J272" s="7" t="str">
        <x:v>图案相关；当前搜索量及转化未验证</x:v>
      </x:c>
      <x:c r="K272" s="7" t="str">
        <x:v>鼠标垫推广跟进表格-2025.08.16.xlsx / 2026新款鼠标垫文案 行2</x:v>
      </x:c>
    </x:row>
    <x:row r="273" ht="30" customHeight="1">
      <x:c r="A273" s="7" t="str">
        <x:v>K268</x:v>
      </x:c>
      <x:c r="B273" s="7" t="str">
        <x:v>mauspad schwarz grau</x:v>
      </x:c>
      <x:c r="C273" s="7" t="str">
        <x:v>黑灰颜色</x:v>
      </x:c>
      <x:c r="D273" s="7" t="str">
        <x:v>低优先级候选</x:v>
      </x:c>
      <x:c r="E273" s="7" t="str">
        <x:v>否</x:v>
      </x:c>
      <x:c r="F273" s="31"/>
      <x:c r="G273" s="31"/>
      <x:c r="H273" s="32" t="str">
        <x:v>无量记录</x:v>
      </x:c>
      <x:c r="I273" s="12"/>
      <x:c r="J273" s="7" t="str">
        <x:v>主色相关但图案含红粉，不主张纯黑</x:v>
      </x:c>
      <x:c r="K273" s="7" t="str">
        <x:v>鼠标垫推广跟进表格-2025.08.16.xlsx / 2026.08.07梳理ST关键词 行2,16</x:v>
      </x:c>
    </x:row>
    <x:row r="274" ht="30" customHeight="1">
      <x:c r="A274" s="7" t="str">
        <x:v>K269</x:v>
      </x:c>
      <x:c r="B274" s="7" t="str">
        <x:v>mauspad schwarz weiß</x:v>
      </x:c>
      <x:c r="C274" s="7" t="str">
        <x:v>其他颜色</x:v>
      </x:c>
      <x:c r="D274" s="7" t="str">
        <x:v>首轮不投</x:v>
      </x:c>
      <x:c r="E274" s="7" t="str">
        <x:v>否</x:v>
      </x:c>
      <x:c r="F274" s="31"/>
      <x:c r="G274" s="31" t="n">
        <x:v>112</x:v>
      </x:c>
      <x:c r="H274" s="32" t="str">
        <x:v>周搜索量，日期及来源待核；首条原记录</x:v>
      </x:c>
      <x:c r="I274" s="12"/>
      <x:c r="J274" s="7" t="str">
        <x:v>非本品黑灰红粉主色；不把所有白色相关短词统一否定</x:v>
      </x:c>
      <x:c r="K274" s="7" t="str">
        <x:v>鼠标垫推广跟进表格-2025.08.16.xlsx / 关键词词库-90 40 行165</x:v>
      </x:c>
    </x:row>
    <x:row r="275" ht="30" customHeight="1">
      <x:c r="A275" s="7" t="str">
        <x:v>K270</x:v>
      </x:c>
      <x:c r="B275" s="7" t="str">
        <x:v>mauspad steelseries</x:v>
      </x:c>
      <x:c r="C275" s="7" t="str">
        <x:v>竞品品牌</x:v>
      </x:c>
      <x:c r="D275" s="7" t="str">
        <x:v>保留待核验</x:v>
      </x:c>
      <x:c r="E275" s="7" t="str">
        <x:v>否</x:v>
      </x:c>
      <x:c r="F275" s="31"/>
      <x:c r="G275" s="31" t="n">
        <x:v>148</x:v>
      </x:c>
      <x:c r="H275" s="32" t="str">
        <x:v>周搜索量，日期及来源待核；首条原记录</x:v>
      </x:c>
      <x:c r="I275" s="12"/>
      <x:c r="J275" s="7" t="str">
        <x:v>首轮不验证竞品品牌意图；可另设专项，不能当自有品牌</x:v>
      </x:c>
      <x:c r="K275" s="7" t="str">
        <x:v>鼠标垫推广跟进表格-2025.08.16.xlsx / 关键词词库-90 40 行152</x:v>
      </x:c>
    </x:row>
    <x:row r="276" ht="30" customHeight="1">
      <x:c r="A276" s="7" t="str">
        <x:v>K271</x:v>
      </x:c>
      <x:c r="B276" s="7" t="str">
        <x:v>mauspad weiss</x:v>
      </x:c>
      <x:c r="C276" s="7" t="str">
        <x:v>其他颜色</x:v>
      </x:c>
      <x:c r="D276" s="7" t="str">
        <x:v>首轮不投</x:v>
      </x:c>
      <x:c r="E276" s="7" t="str">
        <x:v>否</x:v>
      </x:c>
      <x:c r="F276" s="31"/>
      <x:c r="G276" s="31" t="n">
        <x:v>108</x:v>
      </x:c>
      <x:c r="H276" s="32" t="str">
        <x:v>周搜索量，日期及来源待核；首条原记录</x:v>
      </x:c>
      <x:c r="I276" s="12"/>
      <x:c r="J276" s="7" t="str">
        <x:v>非本品黑灰红粉主色；不把所有白色相关短词统一否定</x:v>
      </x:c>
      <x:c r="K276" s="7" t="str">
        <x:v>鼠标垫推广跟进表格-2025.08.16.xlsx / 关键词词库-90 40 行164</x:v>
      </x:c>
    </x:row>
    <x:row r="277" ht="30" customHeight="1">
      <x:c r="A277" s="7" t="str">
        <x:v>K272</x:v>
      </x:c>
      <x:c r="B277" s="7" t="str">
        <x:v>mauspad weiß</x:v>
      </x:c>
      <x:c r="C277" s="7" t="str">
        <x:v>其他颜色</x:v>
      </x:c>
      <x:c r="D277" s="7" t="str">
        <x:v>首轮不投</x:v>
      </x:c>
      <x:c r="E277" s="7" t="str">
        <x:v>否</x:v>
      </x:c>
      <x:c r="F277" s="31"/>
      <x:c r="G277" s="31" t="n">
        <x:v>865</x:v>
      </x:c>
      <x:c r="H277" s="32" t="str">
        <x:v>周搜索量，日期及来源待核；首条原记录</x:v>
      </x:c>
      <x:c r="I277" s="12"/>
      <x:c r="J277" s="7" t="str">
        <x:v>非本品黑灰红粉主色；不把所有白色相关短词统一否定</x:v>
      </x:c>
      <x:c r="K277" s="7" t="str">
        <x:v>鼠标垫推广跟进表格-2025.08.16.xlsx / 关键词词库-90 40 行158
鼠标垫推广跟进表格-2025.08.16.xlsx / 2026.08.07梳理ST关键词 行5</x:v>
      </x:c>
    </x:row>
    <x:row r="278" ht="30" customHeight="1">
      <x:c r="A278" s="7" t="str">
        <x:v>K273</x:v>
      </x:c>
      <x:c r="B278" s="7" t="str">
        <x:v>mauspad weiß xxl</x:v>
      </x:c>
      <x:c r="C278" s="7" t="str">
        <x:v>其他颜色</x:v>
      </x:c>
      <x:c r="D278" s="7" t="str">
        <x:v>首轮不投</x:v>
      </x:c>
      <x:c r="E278" s="7" t="str">
        <x:v>否</x:v>
      </x:c>
      <x:c r="F278" s="31"/>
      <x:c r="G278" s="31" t="n">
        <x:v>83</x:v>
      </x:c>
      <x:c r="H278" s="32" t="str">
        <x:v>周搜索量，日期及来源待核；首条原记录</x:v>
      </x:c>
      <x:c r="I278" s="12"/>
      <x:c r="J278" s="7" t="str">
        <x:v>非本品黑灰红粉主色；不把所有白色相关短词统一否定</x:v>
      </x:c>
      <x:c r="K278" s="7" t="str">
        <x:v>鼠标垫推广跟进表格-2025.08.16.xlsx / 关键词词库-90 40 行172</x:v>
      </x:c>
    </x:row>
    <x:row r="279" ht="30" customHeight="1">
      <x:c r="A279" s="7" t="str">
        <x:v>K274</x:v>
      </x:c>
      <x:c r="B279" s="7" t="str">
        <x:v>mauspad xxl 1200x600</x:v>
      </x:c>
      <x:c r="C279" s="7" t="str">
        <x:v>1200版尺寸</x:v>
      </x:c>
      <x:c r="D279" s="7" t="str">
        <x:v>其他尺寸单独处理</x:v>
      </x:c>
      <x:c r="E279" s="7" t="str">
        <x:v>否</x:v>
      </x:c>
      <x:c r="F279" s="31"/>
      <x:c r="G279" s="31" t="n">
        <x:v>317</x:v>
      </x:c>
      <x:c r="H279" s="32" t="str">
        <x:v>周搜索量，日期及来源待核；首条原记录</x:v>
      </x:c>
      <x:c r="I279" s="12"/>
      <x:c r="J279" s="7" t="str">
        <x:v>属于1200版，不进入本轮900版</x:v>
      </x:c>
      <x:c r="K279" s="7" t="str">
        <x:v>鼠标垫推广跟进表格-2025.08.16.xlsx / 关键词词库-90 40 行76</x:v>
      </x:c>
    </x:row>
    <x:row r="280" ht="30" customHeight="1">
      <x:c r="A280" s="7" t="str">
        <x:v>K275</x:v>
      </x:c>
      <x:c r="B280" s="7" t="str">
        <x:v>mauspad xxl 900x400</x:v>
      </x:c>
      <x:c r="C280" s="7" t="str">
        <x:v>900×400精确尺寸</x:v>
      </x:c>
      <x:c r="D280" s="7" t="str">
        <x:v>候选</x:v>
      </x:c>
      <x:c r="E280" s="7" t="str">
        <x:v>否</x:v>
      </x:c>
      <x:c r="F280" s="31"/>
      <x:c r="G280" s="31" t="n">
        <x:v>108</x:v>
      </x:c>
      <x:c r="H280" s="32" t="str">
        <x:v>周搜索量，日期及来源待核；首条原记录</x:v>
      </x:c>
      <x:c r="I280" s="12"/>
      <x:c r="J280" s="7" t="str">
        <x:v>与本轮实际尺寸一致</x:v>
      </x:c>
      <x:c r="K280" s="7" t="str">
        <x:v>鼠标垫推广跟进表格-2025.08.16.xlsx / 关键词词库-90 40 行59</x:v>
      </x:c>
    </x:row>
    <x:row r="281" ht="30" customHeight="1">
      <x:c r="A281" s="7" t="str">
        <x:v>K276</x:v>
      </x:c>
      <x:c r="B281" s="7" t="str">
        <x:v>mauspad xxl anime</x:v>
      </x:c>
      <x:c r="C281" s="7" t="str">
        <x:v>动漫风格待验证</x:v>
      </x:c>
      <x:c r="D281" s="7" t="str">
        <x:v>保留待核验</x:v>
      </x:c>
      <x:c r="E281" s="7" t="str">
        <x:v>否</x:v>
      </x:c>
      <x:c r="F281" s="31"/>
      <x:c r="G281" s="31" t="n">
        <x:v>141</x:v>
      </x:c>
      <x:c r="H281" s="32" t="str">
        <x:v>周搜索量，日期及来源待核；首条原记录</x:v>
      </x:c>
      <x:c r="I281" s="12"/>
      <x:c r="J281" s="7" t="str">
        <x:v>武士插画不等于特定动漫/授权IP；另作相关性验证</x:v>
      </x:c>
      <x:c r="K281" s="7" t="str">
        <x:v>鼠标垫推广跟进表格-2025.08.16.xlsx / 关键词词库-90 40 行61,177</x:v>
      </x:c>
    </x:row>
    <x:row r="282" ht="30" customHeight="1">
      <x:c r="A282" s="7" t="str">
        <x:v>K277</x:v>
      </x:c>
      <x:c r="B282" s="7" t="str">
        <x:v>mauspad xxl gaming</x:v>
      </x:c>
      <x:c r="C282" s="7" t="str">
        <x:v>大尺寸</x:v>
      </x:c>
      <x:c r="D282" s="7" t="str">
        <x:v>候选</x:v>
      </x:c>
      <x:c r="E282" s="7" t="str">
        <x:v>否</x:v>
      </x:c>
      <x:c r="F282" s="31"/>
      <x:c r="G282" s="31" t="n">
        <x:v>260</x:v>
      </x:c>
      <x:c r="H282" s="32" t="str">
        <x:v>周搜索量，日期及来源待核；首条原记录</x:v>
      </x:c>
      <x:c r="I282" s="12"/>
      <x:c r="J282" s="7" t="str">
        <x:v>大桌垫相关；超大规格用词不替代明确尺寸</x:v>
      </x:c>
      <x:c r="K282" s="7" t="str">
        <x:v>鼠标垫推广跟进表格-2025.08.16.xlsx / 关键词词库-90 40 行92</x:v>
      </x:c>
    </x:row>
    <x:row r="283" ht="30" customHeight="1">
      <x:c r="A283" s="7" t="str">
        <x:v>K278</x:v>
      </x:c>
      <x:c r="B283" s="7" t="str">
        <x:v>mauspad xxl grau</x:v>
      </x:c>
      <x:c r="C283" s="7" t="str">
        <x:v>大尺寸</x:v>
      </x:c>
      <x:c r="D283" s="7" t="str">
        <x:v>候选</x:v>
      </x:c>
      <x:c r="E283" s="7" t="str">
        <x:v>否</x:v>
      </x:c>
      <x:c r="F283" s="31"/>
      <x:c r="G283" s="31"/>
      <x:c r="H283" s="32" t="str">
        <x:v>无量记录</x:v>
      </x:c>
      <x:c r="I283" s="12"/>
      <x:c r="J283" s="7" t="str">
        <x:v>大桌垫相关；超大规格用词不替代明确尺寸</x:v>
      </x:c>
      <x:c r="K283" s="7" t="str">
        <x:v>鼠标垫推广跟进表格-2025.08.16.xlsx / 关键词词库-90 40 行79,170</x:v>
      </x:c>
    </x:row>
    <x:row r="284" ht="30" customHeight="1">
      <x:c r="A284" s="7" t="str">
        <x:v>K279</x:v>
      </x:c>
      <x:c r="B284" s="7" t="str">
        <x:v>mauspad xxl katze</x:v>
      </x:c>
      <x:c r="C284" s="7" t="str">
        <x:v>其他图案</x:v>
      </x:c>
      <x:c r="D284" s="7" t="str">
        <x:v>首轮不投</x:v>
      </x:c>
      <x:c r="E284" s="7" t="str">
        <x:v>否</x:v>
      </x:c>
      <x:c r="F284" s="31"/>
      <x:c r="G284" s="31"/>
      <x:c r="H284" s="32" t="str">
        <x:v>无量记录</x:v>
      </x:c>
      <x:c r="I284" s="12"/>
      <x:c r="J284" s="7" t="str">
        <x:v>其他图案/人物意图，不适合单月下武士ASIN</x:v>
      </x:c>
      <x:c r="K284" s="7" t="str">
        <x:v>鼠标垫推广跟进表格-2025.08.16.xlsx / 2026.08.07梳理ST关键词 行9</x:v>
      </x:c>
    </x:row>
    <x:row r="285" ht="30" customHeight="1">
      <x:c r="A285" s="7" t="str">
        <x:v>K280</x:v>
      </x:c>
      <x:c r="B285" s="7" t="str">
        <x:v>mauspad xxl weiß</x:v>
      </x:c>
      <x:c r="C285" s="7" t="str">
        <x:v>其他颜色</x:v>
      </x:c>
      <x:c r="D285" s="7" t="str">
        <x:v>首轮不投</x:v>
      </x:c>
      <x:c r="E285" s="7" t="str">
        <x:v>否</x:v>
      </x:c>
      <x:c r="F285" s="31"/>
      <x:c r="G285" s="31" t="n">
        <x:v>208</x:v>
      </x:c>
      <x:c r="H285" s="32" t="str">
        <x:v>周搜索量，日期及来源待核；首条原记录</x:v>
      </x:c>
      <x:c r="I285" s="12"/>
      <x:c r="J285" s="7" t="str">
        <x:v>非本品黑灰红粉主色；不把所有白色相关短词统一否定</x:v>
      </x:c>
      <x:c r="K285" s="7" t="str">
        <x:v>鼠标垫推广跟进表格-2025.08.16.xlsx / 关键词词库-90 40 行160
鼠标垫推广跟进表格-2025.08.16.xlsx / 2026.08.07梳理ST关键词 行7</x:v>
      </x:c>
    </x:row>
    <x:row r="286" ht="30" customHeight="1">
      <x:c r="A286" s="7" t="str">
        <x:v>K281</x:v>
      </x:c>
      <x:c r="B286" s="7" t="str">
        <x:v>mauspad xxxl</x:v>
      </x:c>
      <x:c r="C286" s="7" t="str">
        <x:v>大尺寸</x:v>
      </x:c>
      <x:c r="D286" s="7" t="str">
        <x:v>候选</x:v>
      </x:c>
      <x:c r="E286" s="7" t="str">
        <x:v>否</x:v>
      </x:c>
      <x:c r="F286" s="31"/>
      <x:c r="G286" s="31" t="n">
        <x:v>151</x:v>
      </x:c>
      <x:c r="H286" s="32" t="str">
        <x:v>周搜索量，日期及来源待核；首条原记录</x:v>
      </x:c>
      <x:c r="I286" s="12"/>
      <x:c r="J286" s="7" t="str">
        <x:v>大桌垫相关；超大规格用词不替代明确尺寸</x:v>
      </x:c>
      <x:c r="K286" s="7" t="str">
        <x:v>鼠标垫推广跟进表格-2025.08.16.xlsx / 关键词词库-90 40 行70</x:v>
      </x:c>
    </x:row>
    <x:row r="287" ht="30" customHeight="1">
      <x:c r="A287" s="7" t="str">
        <x:v>K282</x:v>
      </x:c>
      <x:c r="B287" s="7" t="str">
        <x:v>mausunterlage</x:v>
      </x:c>
      <x:c r="C287" s="7" t="str">
        <x:v>相关性待核实</x:v>
      </x:c>
      <x:c r="D287" s="7" t="str">
        <x:v>保留待核验</x:v>
      </x:c>
      <x:c r="E287" s="7" t="str">
        <x:v>否</x:v>
      </x:c>
      <x:c r="F287" s="31"/>
      <x:c r="G287" s="31"/>
      <x:c r="H287" s="32" t="str">
        <x:v>无量记录</x:v>
      </x:c>
      <x:c r="I287" s="12"/>
      <x:c r="J287" s="7" t="str">
        <x:v>含义或相关性待人工复核</x:v>
      </x:c>
      <x:c r="K287" s="7" t="str">
        <x:v>鼠标垫推广跟进表格-2025.08.16.xlsx / 关键词词库-小尺寸加护托 行35</x:v>
      </x:c>
    </x:row>
    <x:row r="288" ht="30" customHeight="1">
      <x:c r="A288" s="7" t="str">
        <x:v>K283</x:v>
      </x:c>
      <x:c r="B288" s="7" t="str">
        <x:v>mouse pad ergonomic</x:v>
      </x:c>
      <x:c r="C288" s="7" t="str">
        <x:v>不符结构或功能</x:v>
      </x:c>
      <x:c r="D288" s="7" t="str">
        <x:v>排除候选，确认产品事实</x:v>
      </x:c>
      <x:c r="E288" s="7" t="str">
        <x:v>否</x:v>
      </x:c>
      <x:c r="F288" s="31"/>
      <x:c r="G288" s="31"/>
      <x:c r="H288" s="32" t="str">
        <x:v>无量记录</x:v>
      </x:c>
      <x:c r="I288" s="12"/>
      <x:c r="J288" s="7" t="str">
        <x:v>与平面月下武士桌垫不符或特定结构/功能未经证实</x:v>
      </x:c>
      <x:c r="K288" s="7" t="str">
        <x:v>鼠标垫推广跟进表格-2025.08.16.xlsx / 关键词词库-小尺寸加护托 行44</x:v>
      </x:c>
    </x:row>
    <x:row r="289" ht="30" customHeight="1">
      <x:c r="A289" s="7" t="str">
        <x:v>K284</x:v>
      </x:c>
      <x:c r="B289" s="7" t="str">
        <x:v>mousemat</x:v>
      </x:c>
      <x:c r="C289" s="7" t="str">
        <x:v>相关性待核实</x:v>
      </x:c>
      <x:c r="D289" s="7" t="str">
        <x:v>保留待核验</x:v>
      </x:c>
      <x:c r="E289" s="7" t="str">
        <x:v>否</x:v>
      </x:c>
      <x:c r="F289" s="31"/>
      <x:c r="G289" s="31"/>
      <x:c r="H289" s="32" t="str">
        <x:v>无量记录</x:v>
      </x:c>
      <x:c r="I289" s="12"/>
      <x:c r="J289" s="7" t="str">
        <x:v>含义或相关性待人工复核</x:v>
      </x:c>
      <x:c r="K289" s="7" t="str">
        <x:v>鼠标垫推广跟进表格-2025.08.16.xlsx / 关键词词库-小尺寸加护托 行51</x:v>
      </x:c>
    </x:row>
    <x:row r="290" ht="30" customHeight="1">
      <x:c r="A290" s="7" t="str">
        <x:v>K285</x:v>
      </x:c>
      <x:c r="B290" s="7" t="str">
        <x:v>mousepad 1000x500</x:v>
      </x:c>
      <x:c r="C290" s="7" t="str">
        <x:v>其他尺寸</x:v>
      </x:c>
      <x:c r="D290" s="7" t="str">
        <x:v>首轮不投</x:v>
      </x:c>
      <x:c r="E290" s="7" t="str">
        <x:v>否</x:v>
      </x:c>
      <x:c r="F290" s="31"/>
      <x:c r="G290" s="31" t="n">
        <x:v>105</x:v>
      </x:c>
      <x:c r="H290" s="32" t="str">
        <x:v>周搜索量，日期及来源待核；首条原记录</x:v>
      </x:c>
      <x:c r="I290" s="12"/>
      <x:c r="J290" s="7" t="str">
        <x:v>尺寸不匹配900×400 mm</x:v>
      </x:c>
      <x:c r="K290" s="7" t="str">
        <x:v>鼠标垫推广跟进表格-2025.08.16.xlsx / 关键词词库-90 40 行77</x:v>
      </x:c>
    </x:row>
    <x:row r="291" ht="30" customHeight="1">
      <x:c r="A291" s="7" t="str">
        <x:v>K286</x:v>
      </x:c>
      <x:c r="B291" s="7" t="str">
        <x:v>mousepad 1200x400</x:v>
      </x:c>
      <x:c r="C291" s="7" t="str">
        <x:v>其他尺寸</x:v>
      </x:c>
      <x:c r="D291" s="7" t="str">
        <x:v>首轮不投</x:v>
      </x:c>
      <x:c r="E291" s="7" t="str">
        <x:v>否</x:v>
      </x:c>
      <x:c r="F291" s="31"/>
      <x:c r="G291" s="31"/>
      <x:c r="H291" s="32" t="str">
        <x:v>无量记录</x:v>
      </x:c>
      <x:c r="I291" s="12"/>
      <x:c r="J291" s="7" t="str">
        <x:v>尺寸不匹配900×400 mm</x:v>
      </x:c>
      <x:c r="K291" s="7" t="str">
        <x:v>鼠标垫推广跟进表格-2025.08.16.xlsx / 关键词词库-90 40 行83</x:v>
      </x:c>
    </x:row>
    <x:row r="292" ht="30" customHeight="1">
      <x:c r="A292" s="7" t="str">
        <x:v>K287</x:v>
      </x:c>
      <x:c r="B292" s="7" t="str">
        <x:v>mousepad 1200x600</x:v>
      </x:c>
      <x:c r="C292" s="7" t="str">
        <x:v>1200版尺寸</x:v>
      </x:c>
      <x:c r="D292" s="7" t="str">
        <x:v>其他尺寸单独处理</x:v>
      </x:c>
      <x:c r="E292" s="7" t="str">
        <x:v>否</x:v>
      </x:c>
      <x:c r="F292" s="31"/>
      <x:c r="G292" s="31"/>
      <x:c r="H292" s="32" t="str">
        <x:v>无量记录</x:v>
      </x:c>
      <x:c r="I292" s="12"/>
      <x:c r="J292" s="7" t="str">
        <x:v>属于1200版，不进入本轮900版</x:v>
      </x:c>
      <x:c r="K292" s="7" t="str">
        <x:v>鼠标垫推广跟进表格-2025.08.16.xlsx / 关键词词库-90 40 行28</x:v>
      </x:c>
    </x:row>
    <x:row r="293" ht="30" customHeight="1">
      <x:c r="A293" s="7" t="str">
        <x:v>K288</x:v>
      </x:c>
      <x:c r="B293" s="7" t="str">
        <x:v>mousepad 900x500</x:v>
      </x:c>
      <x:c r="C293" s="7" t="str">
        <x:v>其他尺寸</x:v>
      </x:c>
      <x:c r="D293" s="7" t="str">
        <x:v>首轮不投</x:v>
      </x:c>
      <x:c r="E293" s="7" t="str">
        <x:v>否</x:v>
      </x:c>
      <x:c r="F293" s="31"/>
      <x:c r="G293" s="31"/>
      <x:c r="H293" s="32" t="str">
        <x:v>无量记录</x:v>
      </x:c>
      <x:c r="I293" s="12"/>
      <x:c r="J293" s="7" t="str">
        <x:v>尺寸不匹配900×400 mm</x:v>
      </x:c>
      <x:c r="K293" s="7" t="str">
        <x:v>鼠标垫推广跟进表格-2025.08.16.xlsx / 关键词词库-90 40 行78</x:v>
      </x:c>
    </x:row>
    <x:row r="294" ht="30" customHeight="1">
      <x:c r="A294" s="7" t="str">
        <x:v>K289</x:v>
      </x:c>
      <x:c r="B294" s="7" t="str">
        <x:v>mousepad anime</x:v>
      </x:c>
      <x:c r="C294" s="7" t="str">
        <x:v>动漫风格待验证</x:v>
      </x:c>
      <x:c r="D294" s="7" t="str">
        <x:v>保留待核验</x:v>
      </x:c>
      <x:c r="E294" s="7" t="str">
        <x:v>否</x:v>
      </x:c>
      <x:c r="F294" s="31"/>
      <x:c r="G294" s="31" t="n">
        <x:v>260</x:v>
      </x:c>
      <x:c r="H294" s="32" t="str">
        <x:v>周搜索量，日期及来源待核；首条原记录</x:v>
      </x:c>
      <x:c r="I294" s="12"/>
      <x:c r="J294" s="7" t="str">
        <x:v>武士插画不等于特定动漫/授权IP；另作相关性验证</x:v>
      </x:c>
      <x:c r="K294" s="7" t="str">
        <x:v>鼠标垫推广跟进表格-2025.08.16.xlsx / 关键词词库-90 40 行30,183
鼠标垫推广跟进表格-2025.08.16.xlsx / 2026.08.07梳理ST关键词 行4</x:v>
      </x:c>
    </x:row>
    <x:row r="295" ht="30" customHeight="1">
      <x:c r="A295" s="7" t="str">
        <x:v>K290</x:v>
      </x:c>
      <x:c r="B295" s="7" t="str">
        <x:v>mousepad ergonomisch</x:v>
      </x:c>
      <x:c r="C295" s="7" t="str">
        <x:v>不符结构或功能</x:v>
      </x:c>
      <x:c r="D295" s="7" t="str">
        <x:v>排除候选，确认产品事实</x:v>
      </x:c>
      <x:c r="E295" s="7" t="str">
        <x:v>否</x:v>
      </x:c>
      <x:c r="F295" s="31"/>
      <x:c r="G295" s="31"/>
      <x:c r="H295" s="32" t="str">
        <x:v>无量记录</x:v>
      </x:c>
      <x:c r="I295" s="12"/>
      <x:c r="J295" s="7" t="str">
        <x:v>与平面月下武士桌垫不符或特定结构/功能未经证实</x:v>
      </x:c>
      <x:c r="K295" s="7" t="str">
        <x:v>鼠标垫推广跟进表格-2025.08.16.xlsx / 关键词词库-小尺寸加护托 行22</x:v>
      </x:c>
    </x:row>
    <x:row r="296" ht="30" customHeight="1">
      <x:c r="A296" s="7" t="str">
        <x:v>K291</x:v>
      </x:c>
      <x:c r="B296" s="7" t="str">
        <x:v>mousepad gel</x:v>
      </x:c>
      <x:c r="C296" s="7" t="str">
        <x:v>不符结构或功能</x:v>
      </x:c>
      <x:c r="D296" s="7" t="str">
        <x:v>排除候选，确认产品事实</x:v>
      </x:c>
      <x:c r="E296" s="7" t="str">
        <x:v>否</x:v>
      </x:c>
      <x:c r="F296" s="31"/>
      <x:c r="G296" s="31"/>
      <x:c r="H296" s="32" t="str">
        <x:v>无量记录</x:v>
      </x:c>
      <x:c r="I296" s="12"/>
      <x:c r="J296" s="7" t="str">
        <x:v>与平面月下武士桌垫不符或特定结构/功能未经证实</x:v>
      </x:c>
      <x:c r="K296" s="7" t="str">
        <x:v>鼠标垫推广跟进表格-2025.08.16.xlsx / 关键词词库-小尺寸加护托 行38</x:v>
      </x:c>
    </x:row>
    <x:row r="297" ht="30" customHeight="1">
      <x:c r="A297" s="7" t="str">
        <x:v>K292</x:v>
      </x:c>
      <x:c r="B297" s="7" t="str">
        <x:v>mousepad gel handgelenkauflage</x:v>
      </x:c>
      <x:c r="C297" s="7" t="str">
        <x:v>不符结构或功能</x:v>
      </x:c>
      <x:c r="D297" s="7" t="str">
        <x:v>排除候选，确认产品事实</x:v>
      </x:c>
      <x:c r="E297" s="7" t="str">
        <x:v>否</x:v>
      </x:c>
      <x:c r="F297" s="31"/>
      <x:c r="G297" s="31"/>
      <x:c r="H297" s="32" t="str">
        <x:v>无量记录</x:v>
      </x:c>
      <x:c r="I297" s="12"/>
      <x:c r="J297" s="7" t="str">
        <x:v>与平面月下武士桌垫不符或特定结构/功能未经证实</x:v>
      </x:c>
      <x:c r="K297" s="7" t="str">
        <x:v>鼠标垫推广跟进表格-2025.08.16.xlsx / 关键词词库-小尺寸加护托 行50</x:v>
      </x:c>
    </x:row>
    <x:row r="298" ht="30" customHeight="1">
      <x:c r="A298" s="7" t="str">
        <x:v>K293</x:v>
      </x:c>
      <x:c r="B298" s="7" t="str">
        <x:v>mousepad handauflage</x:v>
      </x:c>
      <x:c r="C298" s="7" t="str">
        <x:v>不符结构或功能</x:v>
      </x:c>
      <x:c r="D298" s="7" t="str">
        <x:v>排除候选，确认产品事实</x:v>
      </x:c>
      <x:c r="E298" s="7" t="str">
        <x:v>否</x:v>
      </x:c>
      <x:c r="F298" s="31"/>
      <x:c r="G298" s="31"/>
      <x:c r="H298" s="32" t="str">
        <x:v>无量记录</x:v>
      </x:c>
      <x:c r="I298" s="12"/>
      <x:c r="J298" s="7" t="str">
        <x:v>与平面月下武士桌垫不符或特定结构/功能未经证实</x:v>
      </x:c>
      <x:c r="K298" s="7" t="str">
        <x:v>鼠标垫推广跟进表格-2025.08.16.xlsx / 关键词词库-小尺寸加护托 行54</x:v>
      </x:c>
    </x:row>
    <x:row r="299" ht="30" customHeight="1">
      <x:c r="A299" s="7" t="str">
        <x:v>K294</x:v>
      </x:c>
      <x:c r="B299" s="7" t="str">
        <x:v>mousepad japan</x:v>
      </x:c>
      <x:c r="C299" s="7" t="str">
        <x:v>日式武士图案</x:v>
      </x:c>
      <x:c r="D299" s="7" t="str">
        <x:v>小范围验证</x:v>
      </x:c>
      <x:c r="E299" s="7" t="str">
        <x:v>否</x:v>
      </x:c>
      <x:c r="F299" s="31"/>
      <x:c r="G299" s="31"/>
      <x:c r="H299" s="32" t="str">
        <x:v>无量记录</x:v>
      </x:c>
      <x:c r="I299" s="12"/>
      <x:c r="J299" s="7" t="str">
        <x:v>图案相关；当前搜索量及转化未验证</x:v>
      </x:c>
      <x:c r="K299" s="7" t="str">
        <x:v>鼠标垫推广跟进表格-2025.08.16.xlsx / 关键词词库-90 40 行187</x:v>
      </x:c>
    </x:row>
    <x:row r="300" ht="30" customHeight="1">
      <x:c r="A300" s="7" t="str">
        <x:v>K295</x:v>
      </x:c>
      <x:c r="B300" s="7" t="str">
        <x:v>mousepad katze</x:v>
      </x:c>
      <x:c r="C300" s="7" t="str">
        <x:v>其他图案</x:v>
      </x:c>
      <x:c r="D300" s="7" t="str">
        <x:v>首轮不投</x:v>
      </x:c>
      <x:c r="E300" s="7" t="str">
        <x:v>否</x:v>
      </x:c>
      <x:c r="F300" s="31"/>
      <x:c r="G300" s="31" t="n">
        <x:v>135</x:v>
      </x:c>
      <x:c r="H300" s="32" t="str">
        <x:v>周搜索量，日期及来源待核；首条原记录</x:v>
      </x:c>
      <x:c r="I300" s="12"/>
      <x:c r="J300" s="7" t="str">
        <x:v>其他图案/人物意图，不适合单月下武士ASIN</x:v>
      </x:c>
      <x:c r="K300" s="7" t="str">
        <x:v>鼠标垫推广跟进表格-2025.08.16.xlsx / 关键词词库-90 40 行178</x:v>
      </x:c>
    </x:row>
    <x:row r="301" ht="30" customHeight="1">
      <x:c r="A301" s="7" t="str">
        <x:v>K296</x:v>
      </x:c>
      <x:c r="B301" s="7" t="str">
        <x:v>mousepad klein</x:v>
      </x:c>
      <x:c r="C301" s="7" t="str">
        <x:v>品类或桌面场景</x:v>
      </x:c>
      <x:c r="D301" s="7" t="str">
        <x:v>候选</x:v>
      </x:c>
      <x:c r="E301" s="7" t="str">
        <x:v>否</x:v>
      </x:c>
      <x:c r="F301" s="31"/>
      <x:c r="G301" s="31"/>
      <x:c r="H301" s="32" t="str">
        <x:v>无量记录</x:v>
      </x:c>
      <x:c r="I301" s="12"/>
      <x:c r="J301" s="7" t="str">
        <x:v>品类/桌面使用相关；宽泛桌垫词需小范围测试</x:v>
      </x:c>
      <x:c r="K301" s="7" t="str">
        <x:v>鼠标垫推广跟进表格-2025.08.16.xlsx / 关键词词库-小尺寸加护托 行39</x:v>
      </x:c>
    </x:row>
    <x:row r="302" ht="30" customHeight="1">
      <x:c r="A302" s="7" t="str">
        <x:v>K297</x:v>
      </x:c>
      <x:c r="B302" s="7" t="str">
        <x:v>mousepad logitech</x:v>
      </x:c>
      <x:c r="C302" s="7" t="str">
        <x:v>竞品品牌</x:v>
      </x:c>
      <x:c r="D302" s="7" t="str">
        <x:v>保留待核验</x:v>
      </x:c>
      <x:c r="E302" s="7" t="str">
        <x:v>否</x:v>
      </x:c>
      <x:c r="F302" s="31"/>
      <x:c r="G302" s="31" t="n">
        <x:v>297</x:v>
      </x:c>
      <x:c r="H302" s="32" t="str">
        <x:v>周搜索量，日期及来源待核；首条原记录</x:v>
      </x:c>
      <x:c r="I302" s="12"/>
      <x:c r="J302" s="7" t="str">
        <x:v>首轮不验证竞品品牌意图；可另设专项，不能当自有品牌</x:v>
      </x:c>
      <x:c r="K302" s="7" t="str">
        <x:v>鼠标垫推广跟进表格-2025.08.16.xlsx / 关键词词库-90 40 行124
鼠标垫推广跟进表格-2025.08.16.xlsx / 关键词词库-小尺寸加护托 行74</x:v>
      </x:c>
    </x:row>
    <x:row r="303" ht="30" customHeight="1">
      <x:c r="A303" s="7" t="str">
        <x:v>K298</x:v>
      </x:c>
      <x:c r="B303" s="7" t="str">
        <x:v>mousepad mit gelkissen</x:v>
      </x:c>
      <x:c r="C303" s="7" t="str">
        <x:v>不符结构或功能</x:v>
      </x:c>
      <x:c r="D303" s="7" t="str">
        <x:v>排除候选，确认产品事实</x:v>
      </x:c>
      <x:c r="E303" s="7" t="str">
        <x:v>否</x:v>
      </x:c>
      <x:c r="F303" s="31"/>
      <x:c r="G303" s="31"/>
      <x:c r="H303" s="32" t="str">
        <x:v>无量记录</x:v>
      </x:c>
      <x:c r="I303" s="12"/>
      <x:c r="J303" s="7" t="str">
        <x:v>与平面月下武士桌垫不符或特定结构/功能未经证实</x:v>
      </x:c>
      <x:c r="K303" s="7" t="str">
        <x:v>鼠标垫推广跟进表格-2025.08.16.xlsx / 关键词词库-小尺寸加护托 行24</x:v>
      </x:c>
    </x:row>
    <x:row r="304" ht="30" customHeight="1">
      <x:c r="A304" s="7" t="str">
        <x:v>K299</x:v>
      </x:c>
      <x:c r="B304" s="7" t="str">
        <x:v>mousepad mit handauflage</x:v>
      </x:c>
      <x:c r="C304" s="7" t="str">
        <x:v>不符结构或功能</x:v>
      </x:c>
      <x:c r="D304" s="7" t="str">
        <x:v>排除候选，确认产品事实</x:v>
      </x:c>
      <x:c r="E304" s="7" t="str">
        <x:v>否</x:v>
      </x:c>
      <x:c r="F304" s="31"/>
      <x:c r="G304" s="31"/>
      <x:c r="H304" s="32" t="str">
        <x:v>无量记录</x:v>
      </x:c>
      <x:c r="I304" s="12"/>
      <x:c r="J304" s="7" t="str">
        <x:v>与平面月下武士桌垫不符或特定结构/功能未经证实</x:v>
      </x:c>
      <x:c r="K304" s="7" t="str">
        <x:v>鼠标垫推广跟进表格-2025.08.16.xlsx / 关键词词库-小尺寸加护托 行6</x:v>
      </x:c>
    </x:row>
    <x:row r="305" ht="30" customHeight="1">
      <x:c r="A305" s="7" t="str">
        <x:v>K300</x:v>
      </x:c>
      <x:c r="B305" s="7" t="str">
        <x:v>mousepad schwarz</x:v>
      </x:c>
      <x:c r="C305" s="7" t="str">
        <x:v>黑灰颜色</x:v>
      </x:c>
      <x:c r="D305" s="7" t="str">
        <x:v>低优先级候选</x:v>
      </x:c>
      <x:c r="E305" s="7" t="str">
        <x:v>否</x:v>
      </x:c>
      <x:c r="F305" s="31"/>
      <x:c r="G305" s="31" t="n">
        <x:v>158</x:v>
      </x:c>
      <x:c r="H305" s="32" t="str">
        <x:v>周搜索量，日期及来源待核；首条原记录</x:v>
      </x:c>
      <x:c r="I305" s="12"/>
      <x:c r="J305" s="7" t="str">
        <x:v>主色相关但图案含红粉，不主张纯黑</x:v>
      </x:c>
      <x:c r="K305" s="7" t="str">
        <x:v>鼠标垫推广跟进表格-2025.08.16.xlsx / 关键词词库-90 40 行157
鼠标垫推广跟进表格-2025.08.16.xlsx / 2026.08.07梳理ST关键词 行6
鼠标垫推广跟进表格-2025.08.16.xlsx / 关键词词库-小尺寸加护托 行21</x:v>
      </x:c>
    </x:row>
    <x:row r="306" ht="30" customHeight="1">
      <x:c r="A306" s="7" t="str">
        <x:v>K301</x:v>
      </x:c>
      <x:c r="B306" s="7" t="str">
        <x:v>mousepad steelseries</x:v>
      </x:c>
      <x:c r="C306" s="7" t="str">
        <x:v>竞品品牌</x:v>
      </x:c>
      <x:c r="D306" s="7" t="str">
        <x:v>保留待核验</x:v>
      </x:c>
      <x:c r="E306" s="7" t="str">
        <x:v>否</x:v>
      </x:c>
      <x:c r="F306" s="31"/>
      <x:c r="G306" s="31" t="n">
        <x:v>102</x:v>
      </x:c>
      <x:c r="H306" s="32" t="str">
        <x:v>周搜索量，日期及来源待核；首条原记录</x:v>
      </x:c>
      <x:c r="I306" s="12"/>
      <x:c r="J306" s="7" t="str">
        <x:v>首轮不验证竞品品牌意图；可另设专项，不能当自有品牌</x:v>
      </x:c>
      <x:c r="K306" s="7" t="str">
        <x:v>鼠标垫推广跟进表格-2025.08.16.xlsx / 关键词词库-90 40 行135</x:v>
      </x:c>
    </x:row>
    <x:row r="307" ht="30" customHeight="1">
      <x:c r="A307" s="7" t="str">
        <x:v>K302</x:v>
      </x:c>
      <x:c r="B307" s="7" t="str">
        <x:v>mousepad white</x:v>
      </x:c>
      <x:c r="C307" s="7" t="str">
        <x:v>其他颜色</x:v>
      </x:c>
      <x:c r="D307" s="7" t="str">
        <x:v>首轮不投</x:v>
      </x:c>
      <x:c r="E307" s="7" t="str">
        <x:v>否</x:v>
      </x:c>
      <x:c r="F307" s="31"/>
      <x:c r="G307" s="31" t="n">
        <x:v>179</x:v>
      </x:c>
      <x:c r="H307" s="32" t="str">
        <x:v>周搜索量，日期及来源待核；首条原记录</x:v>
      </x:c>
      <x:c r="I307" s="12"/>
      <x:c r="J307" s="7" t="str">
        <x:v>非本品黑灰红粉主色；不把所有白色相关短词统一否定</x:v>
      </x:c>
      <x:c r="K307" s="7" t="str">
        <x:v>鼠标垫推广跟进表格-2025.08.16.xlsx / 关键词词库-90 40 行162
鼠标垫推广跟进表格-2025.08.16.xlsx / 2026.08.07梳理ST关键词 行3,17</x:v>
      </x:c>
    </x:row>
    <x:row r="308" ht="30" customHeight="1">
      <x:c r="A308" s="7" t="str">
        <x:v>K303</x:v>
      </x:c>
      <x:c r="B308" s="7" t="str">
        <x:v>mousepad xxl 1200x600</x:v>
      </x:c>
      <x:c r="C308" s="7" t="str">
        <x:v>1200版尺寸</x:v>
      </x:c>
      <x:c r="D308" s="7" t="str">
        <x:v>其他尺寸单独处理</x:v>
      </x:c>
      <x:c r="E308" s="7" t="str">
        <x:v>否</x:v>
      </x:c>
      <x:c r="F308" s="31"/>
      <x:c r="G308" s="31" t="n">
        <x:v>245</x:v>
      </x:c>
      <x:c r="H308" s="32" t="str">
        <x:v>周搜索量，日期及来源待核；首条原记录</x:v>
      </x:c>
      <x:c r="I308" s="12"/>
      <x:c r="J308" s="7" t="str">
        <x:v>属于1200版，不进入本轮900版</x:v>
      </x:c>
      <x:c r="K308" s="7" t="str">
        <x:v>鼠标垫推广跟进表格-2025.08.16.xlsx / 关键词词库-90 40 行75</x:v>
      </x:c>
    </x:row>
    <x:row r="309" ht="30" customHeight="1">
      <x:c r="A309" s="7" t="str">
        <x:v>K304</x:v>
      </x:c>
      <x:c r="B309" s="7" t="str">
        <x:v>mousepad xxl 900x400</x:v>
      </x:c>
      <x:c r="C309" s="7" t="str">
        <x:v>900×400精确尺寸</x:v>
      </x:c>
      <x:c r="D309" s="7" t="str">
        <x:v>候选</x:v>
      </x:c>
      <x:c r="E309" s="7" t="str">
        <x:v>否</x:v>
      </x:c>
      <x:c r="F309" s="31"/>
      <x:c r="G309" s="31"/>
      <x:c r="H309" s="32" t="str">
        <x:v>无量记录</x:v>
      </x:c>
      <x:c r="I309" s="12"/>
      <x:c r="J309" s="7" t="str">
        <x:v>与本轮实际尺寸一致</x:v>
      </x:c>
      <x:c r="K309" s="7" t="str">
        <x:v>鼠标垫推广跟进表格-2025.08.16.xlsx / 关键词词库-90 40 行64</x:v>
      </x:c>
    </x:row>
    <x:row r="310" ht="30" customHeight="1">
      <x:c r="A310" s="7" t="str">
        <x:v>K305</x:v>
      </x:c>
      <x:c r="B310" s="7" t="str">
        <x:v>mousepad xxl anime</x:v>
      </x:c>
      <x:c r="C310" s="7" t="str">
        <x:v>动漫风格待验证</x:v>
      </x:c>
      <x:c r="D310" s="7" t="str">
        <x:v>保留待核验</x:v>
      </x:c>
      <x:c r="E310" s="7" t="str">
        <x:v>否</x:v>
      </x:c>
      <x:c r="F310" s="31"/>
      <x:c r="G310" s="31" t="n">
        <x:v>80</x:v>
      </x:c>
      <x:c r="H310" s="32" t="str">
        <x:v>周搜索量，日期及来源待核；首条原记录</x:v>
      </x:c>
      <x:c r="I310" s="12"/>
      <x:c r="J310" s="7" t="str">
        <x:v>武士插画不等于特定动漫/授权IP；另作相关性验证</x:v>
      </x:c>
      <x:c r="K310" s="7" t="str">
        <x:v>鼠标垫推广跟进表格-2025.08.16.xlsx / 关键词词库-90 40 行63,190</x:v>
      </x:c>
    </x:row>
    <x:row r="311" ht="30" customHeight="1">
      <x:c r="A311" s="7" t="str">
        <x:v>K306</x:v>
      </x:c>
      <x:c r="B311" s="7" t="str">
        <x:v>mousepad xxl gaming</x:v>
      </x:c>
      <x:c r="C311" s="7" t="str">
        <x:v>大尺寸</x:v>
      </x:c>
      <x:c r="D311" s="7" t="str">
        <x:v>候选</x:v>
      </x:c>
      <x:c r="E311" s="7" t="str">
        <x:v>否</x:v>
      </x:c>
      <x:c r="F311" s="31"/>
      <x:c r="G311" s="31" t="n">
        <x:v>145</x:v>
      </x:c>
      <x:c r="H311" s="32" t="str">
        <x:v>周搜索量，日期及来源待核；首条原记录</x:v>
      </x:c>
      <x:c r="I311" s="12"/>
      <x:c r="J311" s="7" t="str">
        <x:v>大桌垫相关；超大规格用词不替代明确尺寸</x:v>
      </x:c>
      <x:c r="K311" s="7" t="str">
        <x:v>鼠标垫推广跟进表格-2025.08.16.xlsx / 关键词词库-90 40 行106</x:v>
      </x:c>
    </x:row>
    <x:row r="312" ht="30" customHeight="1">
      <x:c r="A312" s="7" t="str">
        <x:v>K307</x:v>
      </x:c>
      <x:c r="B312" s="7" t="str">
        <x:v>mousepad xxl weiß</x:v>
      </x:c>
      <x:c r="C312" s="7" t="str">
        <x:v>其他颜色</x:v>
      </x:c>
      <x:c r="D312" s="7" t="str">
        <x:v>首轮不投</x:v>
      </x:c>
      <x:c r="E312" s="7" t="str">
        <x:v>否</x:v>
      </x:c>
      <x:c r="F312" s="31"/>
      <x:c r="G312" s="31"/>
      <x:c r="H312" s="32" t="str">
        <x:v>无量记录</x:v>
      </x:c>
      <x:c r="I312" s="12"/>
      <x:c r="J312" s="7" t="str">
        <x:v>非本品黑灰红粉主色；不把所有白色相关短词统一否定</x:v>
      </x:c>
      <x:c r="K312" s="7" t="str">
        <x:v>鼠标垫推广跟进表格-2025.08.16.xlsx / 关键词词库-90 40 行166</x:v>
      </x:c>
    </x:row>
    <x:row r="313" ht="30" customHeight="1">
      <x:c r="A313" s="7" t="str">
        <x:v>K308</x:v>
      </x:c>
      <x:c r="B313" s="7" t="str">
        <x:v>mousepads</x:v>
      </x:c>
      <x:c r="C313" s="7" t="str">
        <x:v>品类或桌面场景</x:v>
      </x:c>
      <x:c r="D313" s="7" t="str">
        <x:v>候选</x:v>
      </x:c>
      <x:c r="E313" s="7" t="str">
        <x:v>否</x:v>
      </x:c>
      <x:c r="F313" s="31"/>
      <x:c r="G313" s="31"/>
      <x:c r="H313" s="32" t="str">
        <x:v>无量记录</x:v>
      </x:c>
      <x:c r="I313" s="12"/>
      <x:c r="J313" s="7" t="str">
        <x:v>品类/桌面使用相关；宽泛桌垫词需小范围测试</x:v>
      </x:c>
      <x:c r="K313" s="7" t="str">
        <x:v>鼠标垫推广跟进表格-2025.08.16.xlsx / 关键词词库-小尺寸加护托 行25</x:v>
      </x:c>
    </x:row>
    <x:row r="314" ht="30" customHeight="1">
      <x:c r="A314" s="7" t="str">
        <x:v>K309</x:v>
      </x:c>
      <x:c r="B314" s="7" t="str">
        <x:v>mousepads mit handgelenkauflage</x:v>
      </x:c>
      <x:c r="C314" s="7" t="str">
        <x:v>不符结构或功能</x:v>
      </x:c>
      <x:c r="D314" s="7" t="str">
        <x:v>排除候选，确认产品事实</x:v>
      </x:c>
      <x:c r="E314" s="7" t="str">
        <x:v>否</x:v>
      </x:c>
      <x:c r="F314" s="31"/>
      <x:c r="G314" s="31"/>
      <x:c r="H314" s="32" t="str">
        <x:v>无量记录</x:v>
      </x:c>
      <x:c r="I314" s="12"/>
      <x:c r="J314" s="7" t="str">
        <x:v>与平面月下武士桌垫不符或特定结构/功能未经证实</x:v>
      </x:c>
      <x:c r="K314" s="7" t="str">
        <x:v>鼠标垫推广跟进表格-2025.08.16.xlsx / 关键词词库-小尺寸加护托 行47</x:v>
      </x:c>
    </x:row>
    <x:row r="315" ht="30" customHeight="1">
      <x:c r="A315" s="7" t="str">
        <x:v>K310</x:v>
      </x:c>
      <x:c r="B315" s="7" t="str">
        <x:v>mäuse zubehör</x:v>
      </x:c>
      <x:c r="C315" s="7" t="str">
        <x:v>宽泛配件</x:v>
      </x:c>
      <x:c r="D315" s="7" t="str">
        <x:v>保留待核验</x:v>
      </x:c>
      <x:c r="E315" s="7" t="str">
        <x:v>否</x:v>
      </x:c>
      <x:c r="F315" s="31"/>
      <x:c r="G315" s="31" t="n">
        <x:v>99</x:v>
      </x:c>
      <x:c r="H315" s="32" t="str">
        <x:v>周搜索量，日期及来源待核；首条原记录</x:v>
      </x:c>
      <x:c r="I315" s="12"/>
      <x:c r="J315" s="7" t="str">
        <x:v>范围过宽，首轮暂不分散预算</x:v>
      </x:c>
      <x:c r="K315" s="7" t="str">
        <x:v>鼠标垫推广跟进表格-2025.08.16.xlsx / 关键词词库-90 40 行210</x:v>
      </x:c>
    </x:row>
    <x:row r="316" ht="30" customHeight="1">
      <x:c r="A316" s="7" t="str">
        <x:v>K311</x:v>
      </x:c>
      <x:c r="B316" s="7" t="str">
        <x:v>nyfter mauspad</x:v>
      </x:c>
      <x:c r="C316" s="7" t="str">
        <x:v>竞品品牌</x:v>
      </x:c>
      <x:c r="D316" s="7" t="str">
        <x:v>保留待核验</x:v>
      </x:c>
      <x:c r="E316" s="7" t="str">
        <x:v>否</x:v>
      </x:c>
      <x:c r="F316" s="31"/>
      <x:c r="G316" s="31"/>
      <x:c r="H316" s="32" t="str">
        <x:v>无量记录</x:v>
      </x:c>
      <x:c r="I316" s="12"/>
      <x:c r="J316" s="7" t="str">
        <x:v>首轮不验证竞品品牌意图；可另设专项，不能当自有品牌</x:v>
      </x:c>
      <x:c r="K316" s="7" t="str">
        <x:v>鼠标垫推广跟进表格-2025.08.16.xlsx / 关键词词库-小尺寸加护托 行66</x:v>
      </x:c>
    </x:row>
    <x:row r="317" ht="30" customHeight="1">
      <x:c r="A317" s="7" t="str">
        <x:v>K312</x:v>
      </x:c>
      <x:c r="B317" s="7" t="str">
        <x:v>nyfter mousepad</x:v>
      </x:c>
      <x:c r="C317" s="7" t="str">
        <x:v>竞品品牌</x:v>
      </x:c>
      <x:c r="D317" s="7" t="str">
        <x:v>保留待核验</x:v>
      </x:c>
      <x:c r="E317" s="7" t="str">
        <x:v>否</x:v>
      </x:c>
      <x:c r="F317" s="31"/>
      <x:c r="G317" s="31" t="n">
        <x:v>2054</x:v>
      </x:c>
      <x:c r="H317" s="32" t="str">
        <x:v>周搜索量，日期及来源待核；首条原记录</x:v>
      </x:c>
      <x:c r="I317" s="12"/>
      <x:c r="J317" s="7" t="str">
        <x:v>首轮不验证竞品品牌意图；可另设专项，不能当自有品牌</x:v>
      </x:c>
      <x:c r="K317" s="7" t="str">
        <x:v>鼠标垫推广跟进表格-2025.08.16.xlsx / 关键词词库-90 40 行132
鼠标垫推广跟进表格-2025.08.16.xlsx / 关键词词库-小尺寸加护托 行62</x:v>
      </x:c>
    </x:row>
    <x:row r="318" ht="30" customHeight="1">
      <x:c r="A318" s="7" t="str">
        <x:v>K313</x:v>
      </x:c>
      <x:c r="B318" s="7" t="str">
        <x:v>office desk accessories</x:v>
      </x:c>
      <x:c r="C318" s="7" t="str">
        <x:v>宽泛配件</x:v>
      </x:c>
      <x:c r="D318" s="7" t="str">
        <x:v>保留待核验</x:v>
      </x:c>
      <x:c r="E318" s="7" t="str">
        <x:v>否</x:v>
      </x:c>
      <x:c r="F318" s="31"/>
      <x:c r="G318" s="31" t="n">
        <x:v>131</x:v>
      </x:c>
      <x:c r="H318" s="32" t="str">
        <x:v>周搜索量，日期及来源待核；首条原记录</x:v>
      </x:c>
      <x:c r="I318" s="12"/>
      <x:c r="J318" s="7" t="str">
        <x:v>范围过宽，首轮暂不分散预算</x:v>
      </x:c>
      <x:c r="K318" s="7" t="str">
        <x:v>鼠标垫推广跟进表格-2025.08.16.xlsx / 关键词词库-90 40 行213</x:v>
      </x:c>
    </x:row>
    <x:row r="319" ht="30" customHeight="1">
      <x:c r="A319" s="7" t="str">
        <x:v>K314</x:v>
      </x:c>
      <x:c r="B319" s="7" t="str">
        <x:v>pc accessories</x:v>
      </x:c>
      <x:c r="C319" s="7" t="str">
        <x:v>宽泛配件</x:v>
      </x:c>
      <x:c r="D319" s="7" t="str">
        <x:v>保留待核验</x:v>
      </x:c>
      <x:c r="E319" s="7" t="str">
        <x:v>否</x:v>
      </x:c>
      <x:c r="F319" s="31"/>
      <x:c r="G319" s="31" t="n">
        <x:v>256</x:v>
      </x:c>
      <x:c r="H319" s="32" t="str">
        <x:v>周搜索量，日期及来源待核；首条原记录</x:v>
      </x:c>
      <x:c r="I319" s="12"/>
      <x:c r="J319" s="7" t="str">
        <x:v>范围过宽，首轮暂不分散预算</x:v>
      </x:c>
      <x:c r="K319" s="7" t="str">
        <x:v>鼠标垫推广跟进表格-2025.08.16.xlsx / 关键词词库-90 40 行211</x:v>
      </x:c>
    </x:row>
    <x:row r="320" ht="30" customHeight="1">
      <x:c r="A320" s="7" t="str">
        <x:v>K315</x:v>
      </x:c>
      <x:c r="B320" s="7" t="str">
        <x:v>pc gaming setup</x:v>
      </x:c>
      <x:c r="C320" s="7" t="str">
        <x:v>宽泛配件</x:v>
      </x:c>
      <x:c r="D320" s="7" t="str">
        <x:v>保留待核验</x:v>
      </x:c>
      <x:c r="E320" s="7" t="str">
        <x:v>否</x:v>
      </x:c>
      <x:c r="F320" s="31"/>
      <x:c r="G320" s="31" t="n">
        <x:v>121</x:v>
      </x:c>
      <x:c r="H320" s="32" t="str">
        <x:v>周搜索量，日期及来源待核；首条原记录</x:v>
      </x:c>
      <x:c r="I320" s="12"/>
      <x:c r="J320" s="7" t="str">
        <x:v>范围过宽，首轮暂不分散预算</x:v>
      </x:c>
      <x:c r="K320" s="7" t="str">
        <x:v>鼠标垫推广跟进表格-2025.08.16.xlsx / 关键词词库-90 40 行207</x:v>
      </x:c>
    </x:row>
    <x:row r="321" ht="30" customHeight="1">
      <x:c r="A321" s="7" t="str">
        <x:v>K316</x:v>
      </x:c>
      <x:c r="B321" s="7" t="str">
        <x:v>pc gaming zubehör</x:v>
      </x:c>
      <x:c r="C321" s="7" t="str">
        <x:v>宽泛配件</x:v>
      </x:c>
      <x:c r="D321" s="7" t="str">
        <x:v>保留待核验</x:v>
      </x:c>
      <x:c r="E321" s="7" t="str">
        <x:v>否</x:v>
      </x:c>
      <x:c r="F321" s="31"/>
      <x:c r="G321" s="31" t="n">
        <x:v>278</x:v>
      </x:c>
      <x:c r="H321" s="32" t="str">
        <x:v>周搜索量，日期及来源待核；首条原记录</x:v>
      </x:c>
      <x:c r="I321" s="12"/>
      <x:c r="J321" s="7" t="str">
        <x:v>范围过宽，首轮暂不分散预算</x:v>
      </x:c>
      <x:c r="K321" s="7" t="str">
        <x:v>鼠标垫推广跟进表格-2025.08.16.xlsx / 关键词词库-90 40 行224</x:v>
      </x:c>
    </x:row>
    <x:row r="322" ht="30" customHeight="1">
      <x:c r="A322" s="7" t="str">
        <x:v>K317</x:v>
      </x:c>
      <x:c r="B322" s="7" t="str">
        <x:v>pc unterlage</x:v>
      </x:c>
      <x:c r="C322" s="7" t="str">
        <x:v>相关性待核实</x:v>
      </x:c>
      <x:c r="D322" s="7" t="str">
        <x:v>保留待核验</x:v>
      </x:c>
      <x:c r="E322" s="7" t="str">
        <x:v>否</x:v>
      </x:c>
      <x:c r="F322" s="31"/>
      <x:c r="G322" s="31" t="n">
        <x:v>121</x:v>
      </x:c>
      <x:c r="H322" s="32" t="str">
        <x:v>周搜索量，日期及来源待核；首条原记录</x:v>
      </x:c>
      <x:c r="I322" s="12"/>
      <x:c r="J322" s="7" t="str">
        <x:v>含义或相关性待人工复核</x:v>
      </x:c>
      <x:c r="K322" s="7" t="str">
        <x:v>鼠标垫推广跟进表格-2025.08.16.xlsx / 关键词词库-90 40 行195</x:v>
      </x:c>
    </x:row>
    <x:row r="323" ht="30" customHeight="1">
      <x:c r="A323" s="7" t="str">
        <x:v>K318</x:v>
      </x:c>
      <x:c r="B323" s="7" t="str">
        <x:v>pc unterlage schreibtisch</x:v>
      </x:c>
      <x:c r="C323" s="7" t="str">
        <x:v>相关性待核实</x:v>
      </x:c>
      <x:c r="D323" s="7" t="str">
        <x:v>保留待核验</x:v>
      </x:c>
      <x:c r="E323" s="7" t="str">
        <x:v>否</x:v>
      </x:c>
      <x:c r="F323" s="31"/>
      <x:c r="G323" s="31" t="n">
        <x:v>131</x:v>
      </x:c>
      <x:c r="H323" s="32" t="str">
        <x:v>周搜索量，日期及来源待核；首条原记录</x:v>
      </x:c>
      <x:c r="I323" s="12"/>
      <x:c r="J323" s="7" t="str">
        <x:v>含义或相关性待人工复核</x:v>
      </x:c>
      <x:c r="K323" s="7" t="str">
        <x:v>鼠标垫推广跟进表格-2025.08.16.xlsx / 关键词词库-90 40 行204</x:v>
      </x:c>
    </x:row>
    <x:row r="324" ht="30" customHeight="1">
      <x:c r="A324" s="7" t="str">
        <x:v>K319</x:v>
      </x:c>
      <x:c r="B324" s="7" t="str">
        <x:v>pc zubehör</x:v>
      </x:c>
      <x:c r="C324" s="7" t="str">
        <x:v>宽泛配件</x:v>
      </x:c>
      <x:c r="D324" s="7" t="str">
        <x:v>保留待核验</x:v>
      </x:c>
      <x:c r="E324" s="7" t="str">
        <x:v>否</x:v>
      </x:c>
      <x:c r="F324" s="31"/>
      <x:c r="G324" s="31" t="n">
        <x:v>1575</x:v>
      </x:c>
      <x:c r="H324" s="32" t="str">
        <x:v>周搜索量，日期及来源待核；首条原记录</x:v>
      </x:c>
      <x:c r="I324" s="12"/>
      <x:c r="J324" s="7" t="str">
        <x:v>范围过宽，首轮暂不分散预算</x:v>
      </x:c>
      <x:c r="K324" s="7" t="str">
        <x:v>鼠标垫推广跟进表格-2025.08.16.xlsx / 关键词词库-90 40 行212</x:v>
      </x:c>
    </x:row>
    <x:row r="325" ht="30" customHeight="1">
      <x:c r="A325" s="7" t="str">
        <x:v>K320</x:v>
      </x:c>
      <x:c r="B325" s="7" t="str">
        <x:v>pc zubehör gaming</x:v>
      </x:c>
      <x:c r="C325" s="7" t="str">
        <x:v>宽泛配件</x:v>
      </x:c>
      <x:c r="D325" s="7" t="str">
        <x:v>保留待核验</x:v>
      </x:c>
      <x:c r="E325" s="7" t="str">
        <x:v>否</x:v>
      </x:c>
      <x:c r="F325" s="31"/>
      <x:c r="G325" s="31" t="n">
        <x:v>654</x:v>
      </x:c>
      <x:c r="H325" s="32" t="str">
        <x:v>周搜索量，日期及来源待核；首条原记录</x:v>
      </x:c>
      <x:c r="I325" s="12"/>
      <x:c r="J325" s="7" t="str">
        <x:v>范围过宽，首轮暂不分散预算</x:v>
      </x:c>
      <x:c r="K325" s="7" t="str">
        <x:v>鼠标垫推广跟进表格-2025.08.16.xlsx / 关键词词库-90 40 行201</x:v>
      </x:c>
    </x:row>
    <x:row r="326" ht="30" customHeight="1">
      <x:c r="A326" s="7" t="str">
        <x:v>K321</x:v>
      </x:c>
      <x:c r="B326" s="7" t="str">
        <x:v>razer gigantus v2 xxl</x:v>
      </x:c>
      <x:c r="C326" s="7" t="str">
        <x:v>竞品品牌</x:v>
      </x:c>
      <x:c r="D326" s="7" t="str">
        <x:v>保留待核验</x:v>
      </x:c>
      <x:c r="E326" s="7" t="str">
        <x:v>否</x:v>
      </x:c>
      <x:c r="F326" s="31"/>
      <x:c r="G326" s="31" t="n">
        <x:v>86</x:v>
      </x:c>
      <x:c r="H326" s="32" t="str">
        <x:v>周搜索量，日期及来源待核；首条原记录</x:v>
      </x:c>
      <x:c r="I326" s="12"/>
      <x:c r="J326" s="7" t="str">
        <x:v>首轮不验证竞品品牌意图；可另设专项，不能当自有品牌</x:v>
      </x:c>
      <x:c r="K326" s="7" t="str">
        <x:v>鼠标垫推广跟进表格-2025.08.16.xlsx / 关键词词库-90 40 行129</x:v>
      </x:c>
    </x:row>
    <x:row r="327" ht="30" customHeight="1">
      <x:c r="A327" s="7" t="str">
        <x:v>K322</x:v>
      </x:c>
      <x:c r="B327" s="7" t="str">
        <x:v>razer mauspad</x:v>
      </x:c>
      <x:c r="C327" s="7" t="str">
        <x:v>竞品品牌</x:v>
      </x:c>
      <x:c r="D327" s="7" t="str">
        <x:v>保留待核验</x:v>
      </x:c>
      <x:c r="E327" s="7" t="str">
        <x:v>否</x:v>
      </x:c>
      <x:c r="F327" s="31"/>
      <x:c r="G327" s="31"/>
      <x:c r="H327" s="32" t="str">
        <x:v>无量记录</x:v>
      </x:c>
      <x:c r="I327" s="12"/>
      <x:c r="J327" s="7" t="str">
        <x:v>首轮不验证竞品品牌意图；可另设专项，不能当自有品牌</x:v>
      </x:c>
      <x:c r="K327" s="7" t="str">
        <x:v>鼠标垫推广跟进表格-2025.08.16.xlsx / 关键词词库-小尺寸加护托 行64</x:v>
      </x:c>
    </x:row>
    <x:row r="328" ht="30" customHeight="1">
      <x:c r="A328" s="7" t="str">
        <x:v>K323</x:v>
      </x:c>
      <x:c r="B328" s="7" t="str">
        <x:v>razer mauspad xxl</x:v>
      </x:c>
      <x:c r="C328" s="7" t="str">
        <x:v>竞品品牌</x:v>
      </x:c>
      <x:c r="D328" s="7" t="str">
        <x:v>保留待核验</x:v>
      </x:c>
      <x:c r="E328" s="7" t="str">
        <x:v>否</x:v>
      </x:c>
      <x:c r="F328" s="31"/>
      <x:c r="G328" s="31"/>
      <x:c r="H328" s="32" t="str">
        <x:v>无量记录</x:v>
      </x:c>
      <x:c r="I328" s="12"/>
      <x:c r="J328" s="7" t="str">
        <x:v>首轮不验证竞品品牌意图；可另设专项，不能当自有品牌</x:v>
      </x:c>
      <x:c r="K328" s="7" t="str">
        <x:v>鼠标垫推广跟进表格-2025.08.16.xlsx / 关键词词库-90 40 行134</x:v>
      </x:c>
    </x:row>
    <x:row r="329" ht="30" customHeight="1">
      <x:c r="A329" s="7" t="str">
        <x:v>K324</x:v>
      </x:c>
      <x:c r="B329" s="7" t="str">
        <x:v>razer mousepad</x:v>
      </x:c>
      <x:c r="C329" s="7" t="str">
        <x:v>竞品品牌</x:v>
      </x:c>
      <x:c r="D329" s="7" t="str">
        <x:v>保留待核验</x:v>
      </x:c>
      <x:c r="E329" s="7" t="str">
        <x:v>否</x:v>
      </x:c>
      <x:c r="F329" s="31"/>
      <x:c r="G329" s="31" t="n">
        <x:v>541</x:v>
      </x:c>
      <x:c r="H329" s="32" t="str">
        <x:v>周搜索量，日期及来源待核；首条原记录</x:v>
      </x:c>
      <x:c r="I329" s="12"/>
      <x:c r="J329" s="7" t="str">
        <x:v>首轮不验证竞品品牌意图；可另设专项，不能当自有品牌</x:v>
      </x:c>
      <x:c r="K329" s="7" t="str">
        <x:v>鼠标垫推广跟进表格-2025.08.16.xlsx / 关键词词库-90 40 行123</x:v>
      </x:c>
    </x:row>
    <x:row r="330" ht="30" customHeight="1">
      <x:c r="A330" s="7" t="str">
        <x:v>K325</x:v>
      </x:c>
      <x:c r="B330" s="7" t="str">
        <x:v>roccat mauspad</x:v>
      </x:c>
      <x:c r="C330" s="7" t="str">
        <x:v>竞品品牌</x:v>
      </x:c>
      <x:c r="D330" s="7" t="str">
        <x:v>保留待核验</x:v>
      </x:c>
      <x:c r="E330" s="7" t="str">
        <x:v>否</x:v>
      </x:c>
      <x:c r="F330" s="31"/>
      <x:c r="G330" s="31" t="n">
        <x:v>118</x:v>
      </x:c>
      <x:c r="H330" s="32" t="str">
        <x:v>周搜索量，日期及来源待核；首条原记录</x:v>
      </x:c>
      <x:c r="I330" s="12"/>
      <x:c r="J330" s="7" t="str">
        <x:v>首轮不验证竞品品牌意图；可另设专项，不能当自有品牌</x:v>
      </x:c>
      <x:c r="K330" s="7" t="str">
        <x:v>鼠标垫推广跟进表格-2025.08.16.xlsx / 关键词词库-90 40 行128</x:v>
      </x:c>
    </x:row>
    <x:row r="331" ht="30" customHeight="1">
      <x:c r="A331" s="7" t="str">
        <x:v>K326</x:v>
      </x:c>
      <x:c r="B331" s="7" t="str">
        <x:v>rog mauspad</x:v>
      </x:c>
      <x:c r="C331" s="7" t="str">
        <x:v>竞品品牌</x:v>
      </x:c>
      <x:c r="D331" s="7" t="str">
        <x:v>保留待核验</x:v>
      </x:c>
      <x:c r="E331" s="7" t="str">
        <x:v>否</x:v>
      </x:c>
      <x:c r="F331" s="31"/>
      <x:c r="G331" s="31"/>
      <x:c r="H331" s="32" t="str">
        <x:v>无量记录</x:v>
      </x:c>
      <x:c r="I331" s="12"/>
      <x:c r="J331" s="7" t="str">
        <x:v>首轮不验证竞品品牌意图；可另设专项，不能当自有品牌</x:v>
      </x:c>
      <x:c r="K331" s="7" t="str">
        <x:v>鼠标垫推广跟进表格-2025.08.16.xlsx / 关键词词库-90 40 行151</x:v>
      </x:c>
    </x:row>
    <x:row r="332" ht="30" customHeight="1">
      <x:c r="A332" s="7" t="str">
        <x:v>K327</x:v>
      </x:c>
      <x:c r="B332" s="7" t="str">
        <x:v>rz gaming mauspad</x:v>
      </x:c>
      <x:c r="C332" s="7" t="str">
        <x:v>竞品品牌</x:v>
      </x:c>
      <x:c r="D332" s="7" t="str">
        <x:v>保留待核验</x:v>
      </x:c>
      <x:c r="E332" s="7" t="str">
        <x:v>否</x:v>
      </x:c>
      <x:c r="F332" s="31"/>
      <x:c r="G332" s="31" t="n">
        <x:v>172</x:v>
      </x:c>
      <x:c r="H332" s="32" t="str">
        <x:v>周搜索量，日期及来源待核；首条原记录</x:v>
      </x:c>
      <x:c r="I332" s="12"/>
      <x:c r="J332" s="7" t="str">
        <x:v>首轮不验证竞品品牌意图；可另设专项，不能当自有品牌</x:v>
      </x:c>
      <x:c r="K332" s="7" t="str">
        <x:v>鼠标垫推广跟进表格-2025.08.16.xlsx / 关键词词库-90 40 行139</x:v>
      </x:c>
    </x:row>
    <x:row r="333" ht="30" customHeight="1">
      <x:c r="A333" s="7" t="str">
        <x:v>K328</x:v>
      </x:c>
      <x:c r="B333" s="7" t="str">
        <x:v>sakura mauspad</x:v>
      </x:c>
      <x:c r="C333" s="7" t="str">
        <x:v>其他图案</x:v>
      </x:c>
      <x:c r="D333" s="7" t="str">
        <x:v>首轮不投</x:v>
      </x:c>
      <x:c r="E333" s="7" t="str">
        <x:v>否</x:v>
      </x:c>
      <x:c r="F333" s="31"/>
      <x:c r="G333" s="31" t="n">
        <x:v>86</x:v>
      </x:c>
      <x:c r="H333" s="32" t="str">
        <x:v>周搜索量，日期及来源待核；首条原记录</x:v>
      </x:c>
      <x:c r="I333" s="12"/>
      <x:c r="J333" s="7" t="str">
        <x:v>其他图案/人物意图，不适合单月下武士ASIN</x:v>
      </x:c>
      <x:c r="K333" s="7" t="str">
        <x:v>鼠标垫推广跟进表格-2025.08.16.xlsx / 关键词词库-90 40 行184</x:v>
      </x:c>
    </x:row>
    <x:row r="334" ht="30" customHeight="1">
      <x:c r="A334" s="7" t="str">
        <x:v>K329</x:v>
      </x:c>
      <x:c r="B334" s="7" t="str">
        <x:v>sakura mousepad</x:v>
      </x:c>
      <x:c r="C334" s="7" t="str">
        <x:v>其他图案</x:v>
      </x:c>
      <x:c r="D334" s="7" t="str">
        <x:v>首轮不投</x:v>
      </x:c>
      <x:c r="E334" s="7" t="str">
        <x:v>否</x:v>
      </x:c>
      <x:c r="F334" s="31"/>
      <x:c r="G334" s="31"/>
      <x:c r="H334" s="32" t="str">
        <x:v>无量记录</x:v>
      </x:c>
      <x:c r="I334" s="12"/>
      <x:c r="J334" s="7" t="str">
        <x:v>其他图案/人物意图，不适合单月下武士ASIN</x:v>
      </x:c>
      <x:c r="K334" s="7" t="str">
        <x:v>鼠标垫推广跟进表格-2025.08.16.xlsx / 关键词词库-90 40 行189</x:v>
      </x:c>
    </x:row>
    <x:row r="335" ht="30" customHeight="1">
      <x:c r="A335" s="7" t="str">
        <x:v>K330</x:v>
      </x:c>
      <x:c r="B335" s="7" t="str">
        <x:v>samurai mauspad</x:v>
      </x:c>
      <x:c r="C335" s="7" t="str">
        <x:v>日式武士图案</x:v>
      </x:c>
      <x:c r="D335" s="7" t="str">
        <x:v>小范围验证</x:v>
      </x:c>
      <x:c r="E335" s="7" t="str">
        <x:v>是</x:v>
      </x:c>
      <x:c r="F335" s="31"/>
      <x:c r="G335" s="31"/>
      <x:c r="H335" s="32" t="str">
        <x:v>无量记录</x:v>
      </x:c>
      <x:c r="I335" s="12"/>
      <x:c r="J335" s="7" t="str">
        <x:v>图案相关；当前搜索量及转化未验证</x:v>
      </x:c>
      <x:c r="K335" s="7" t="str">
        <x:v>鼠标垫推广跟进表格-2025.08.16.xlsx / 2026新款鼠标垫文案 行2</x:v>
      </x:c>
    </x:row>
    <x:row r="336" ht="30" customHeight="1">
      <x:c r="A336" s="7" t="str">
        <x:v>K331</x:v>
      </x:c>
      <x:c r="B336" s="7" t="str">
        <x:v>schreibtisch zubehör</x:v>
      </x:c>
      <x:c r="C336" s="7" t="str">
        <x:v>宽泛配件</x:v>
      </x:c>
      <x:c r="D336" s="7" t="str">
        <x:v>保留待核验</x:v>
      </x:c>
      <x:c r="E336" s="7" t="str">
        <x:v>否</x:v>
      </x:c>
      <x:c r="F336" s="31"/>
      <x:c r="G336" s="31" t="n">
        <x:v>2742</x:v>
      </x:c>
      <x:c r="H336" s="32" t="str">
        <x:v>周搜索量，日期及来源待核；首条原记录</x:v>
      </x:c>
      <x:c r="I336" s="12"/>
      <x:c r="J336" s="7" t="str">
        <x:v>范围过宽，首轮暂不分散预算</x:v>
      </x:c>
      <x:c r="K336" s="7" t="str">
        <x:v>鼠标垫推广跟进表格-2025.08.16.xlsx / 关键词词库-90 40 行208</x:v>
      </x:c>
    </x:row>
    <x:row r="337" ht="30" customHeight="1">
      <x:c r="A337" s="7" t="str">
        <x:v>K332</x:v>
      </x:c>
      <x:c r="B337" s="7" t="str">
        <x:v>schreibtisch zubehör aesthetic</x:v>
      </x:c>
      <x:c r="C337" s="7" t="str">
        <x:v>宽泛配件</x:v>
      </x:c>
      <x:c r="D337" s="7" t="str">
        <x:v>保留待核验</x:v>
      </x:c>
      <x:c r="E337" s="7" t="str">
        <x:v>否</x:v>
      </x:c>
      <x:c r="F337" s="31"/>
      <x:c r="G337" s="31" t="n">
        <x:v>169</x:v>
      </x:c>
      <x:c r="H337" s="32" t="str">
        <x:v>周搜索量，日期及来源待核；首条原记录</x:v>
      </x:c>
      <x:c r="I337" s="12"/>
      <x:c r="J337" s="7" t="str">
        <x:v>范围过宽，首轮暂不分散预算</x:v>
      </x:c>
      <x:c r="K337" s="7" t="str">
        <x:v>鼠标垫推广跟进表格-2025.08.16.xlsx / 关键词词库-90 40 行206</x:v>
      </x:c>
    </x:row>
    <x:row r="338" ht="30" customHeight="1">
      <x:c r="A338" s="7" t="str">
        <x:v>K333</x:v>
      </x:c>
      <x:c r="B338" s="7" t="str">
        <x:v>schreibtischunterlage</x:v>
      </x:c>
      <x:c r="C338" s="7" t="str">
        <x:v>品类或桌面场景</x:v>
      </x:c>
      <x:c r="D338" s="7" t="str">
        <x:v>候选</x:v>
      </x:c>
      <x:c r="E338" s="7" t="str">
        <x:v>否</x:v>
      </x:c>
      <x:c r="F338" s="31"/>
      <x:c r="G338" s="31" t="n">
        <x:v>32947</x:v>
      </x:c>
      <x:c r="H338" s="32" t="str">
        <x:v>搜索量，日期及来源待核；首条原记录</x:v>
      </x:c>
      <x:c r="I338" s="12"/>
      <x:c r="J338" s="7" t="str">
        <x:v>品类/桌面使用相关；宽泛桌垫词需小范围测试</x:v>
      </x:c>
      <x:c r="K338" s="7" t="str">
        <x:v>鼠标垫推广跟进表格-2025.08.16.xlsx / 关键词词库-90 40 行4,33</x:v>
      </x:c>
    </x:row>
    <x:row r="339" ht="30" customHeight="1">
      <x:c r="A339" s="7" t="str">
        <x:v>K334</x:v>
      </x:c>
      <x:c r="B339" s="7" t="str">
        <x:v>schreibtischunterlage anime</x:v>
      </x:c>
      <x:c r="C339" s="7" t="str">
        <x:v>动漫风格待验证</x:v>
      </x:c>
      <x:c r="D339" s="7" t="str">
        <x:v>保留待核验</x:v>
      </x:c>
      <x:c r="E339" s="7" t="str">
        <x:v>否</x:v>
      </x:c>
      <x:c r="F339" s="31"/>
      <x:c r="G339" s="31" t="n">
        <x:v>77</x:v>
      </x:c>
      <x:c r="H339" s="32" t="str">
        <x:v>周搜索量，日期及来源待核；首条原记录</x:v>
      </x:c>
      <x:c r="I339" s="12"/>
      <x:c r="J339" s="7" t="str">
        <x:v>武士插画不等于特定动漫/授权IP；另作相关性验证</x:v>
      </x:c>
      <x:c r="K339" s="7" t="str">
        <x:v>鼠标垫推广跟进表格-2025.08.16.xlsx / 关键词词库-90 40 行186</x:v>
      </x:c>
    </x:row>
    <x:row r="340" ht="30" customHeight="1">
      <x:c r="A340" s="7" t="str">
        <x:v>K335</x:v>
      </x:c>
      <x:c r="B340" s="7" t="str">
        <x:v>schreibtischunterlage filz</x:v>
      </x:c>
      <x:c r="C340" s="7" t="str">
        <x:v>不符结构或功能</x:v>
      </x:c>
      <x:c r="D340" s="7" t="str">
        <x:v>排除候选，确认产品事实</x:v>
      </x:c>
      <x:c r="E340" s="7" t="str">
        <x:v>否</x:v>
      </x:c>
      <x:c r="F340" s="31"/>
      <x:c r="G340" s="31"/>
      <x:c r="H340" s="32" t="str">
        <x:v>无量记录</x:v>
      </x:c>
      <x:c r="I340" s="12"/>
      <x:c r="J340" s="7" t="str">
        <x:v>与平面月下武士桌垫不符或特定结构/功能未经证实</x:v>
      </x:c>
      <x:c r="K340" s="7" t="str">
        <x:v>鼠标垫推广跟进表格-2025.08.16.xlsx / 关键词词库-90 40 行39</x:v>
      </x:c>
    </x:row>
    <x:row r="341" ht="30" customHeight="1">
      <x:c r="A341" s="7" t="str">
        <x:v>K336</x:v>
      </x:c>
      <x:c r="B341" s="7" t="str">
        <x:v>schreibtischunterlage groß</x:v>
      </x:c>
      <x:c r="C341" s="7" t="str">
        <x:v>大尺寸</x:v>
      </x:c>
      <x:c r="D341" s="7" t="str">
        <x:v>候选</x:v>
      </x:c>
      <x:c r="E341" s="7" t="str">
        <x:v>否</x:v>
      </x:c>
      <x:c r="F341" s="31"/>
      <x:c r="G341" s="31" t="n">
        <x:v>436</x:v>
      </x:c>
      <x:c r="H341" s="32" t="str">
        <x:v>周搜索量，日期及来源待核；首条原记录</x:v>
      </x:c>
      <x:c r="I341" s="12"/>
      <x:c r="J341" s="7" t="str">
        <x:v>大桌垫相关；超大规格用词不替代明确尺寸</x:v>
      </x:c>
      <x:c r="K341" s="7" t="str">
        <x:v>鼠标垫推广跟进表格-2025.08.16.xlsx / 关键词词库-90 40 行53</x:v>
      </x:c>
    </x:row>
    <x:row r="342" ht="30" customHeight="1">
      <x:c r="A342" s="7" t="str">
        <x:v>K337</x:v>
      </x:c>
      <x:c r="B342" s="7" t="str">
        <x:v>schreibtischunterlage kind</x:v>
      </x:c>
      <x:c r="C342" s="7" t="str">
        <x:v>品类或桌面场景</x:v>
      </x:c>
      <x:c r="D342" s="7" t="str">
        <x:v>候选</x:v>
      </x:c>
      <x:c r="E342" s="7" t="str">
        <x:v>否</x:v>
      </x:c>
      <x:c r="F342" s="31"/>
      <x:c r="G342" s="31" t="n">
        <x:v>179</x:v>
      </x:c>
      <x:c r="H342" s="32" t="str">
        <x:v>周搜索量，日期及来源待核；首条原记录</x:v>
      </x:c>
      <x:c r="I342" s="12"/>
      <x:c r="J342" s="7" t="str">
        <x:v>品类/桌面使用相关；宽泛桌垫词需小范围测试</x:v>
      </x:c>
      <x:c r="K342" s="7" t="str">
        <x:v>鼠标垫推广跟进表格-2025.08.16.xlsx / 关键词词库-90 40 行180</x:v>
      </x:c>
    </x:row>
    <x:row r="343" ht="30" customHeight="1">
      <x:c r="A343" s="7" t="str">
        <x:v>K338</x:v>
      </x:c>
      <x:c r="B343" s="7" t="str">
        <x:v>schreibtischunterlage kinder</x:v>
      </x:c>
      <x:c r="C343" s="7" t="str">
        <x:v>品类或桌面场景</x:v>
      </x:c>
      <x:c r="D343" s="7" t="str">
        <x:v>候选</x:v>
      </x:c>
      <x:c r="E343" s="7" t="str">
        <x:v>否</x:v>
      </x:c>
      <x:c r="F343" s="31"/>
      <x:c r="G343" s="31"/>
      <x:c r="H343" s="32" t="str">
        <x:v>无量记录</x:v>
      </x:c>
      <x:c r="I343" s="12"/>
      <x:c r="J343" s="7" t="str">
        <x:v>品类/桌面使用相关；宽泛桌垫词需小范围测试</x:v>
      </x:c>
      <x:c r="K343" s="7" t="str">
        <x:v>鼠标垫推广跟进表格-2025.08.16.xlsx / 关键词词库-90 40 行36</x:v>
      </x:c>
    </x:row>
    <x:row r="344" ht="30" customHeight="1">
      <x:c r="A344" s="7" t="str">
        <x:v>K339</x:v>
      </x:c>
      <x:c r="B344" s="7" t="str">
        <x:v>schreibtischunterlage kinder abwischbar</x:v>
      </x:c>
      <x:c r="C344" s="7" t="str">
        <x:v>品类或桌面场景</x:v>
      </x:c>
      <x:c r="D344" s="7" t="str">
        <x:v>候选</x:v>
      </x:c>
      <x:c r="E344" s="7" t="str">
        <x:v>否</x:v>
      </x:c>
      <x:c r="F344" s="31"/>
      <x:c r="G344" s="31"/>
      <x:c r="H344" s="32" t="str">
        <x:v>无量记录</x:v>
      </x:c>
      <x:c r="I344" s="12"/>
      <x:c r="J344" s="7" t="str">
        <x:v>品类/桌面使用相关；宽泛桌垫词需小范围测试</x:v>
      </x:c>
      <x:c r="K344" s="7" t="str">
        <x:v>鼠标垫推广跟进表格-2025.08.16.xlsx / 关键词词库-90 40 行41</x:v>
      </x:c>
    </x:row>
    <x:row r="345" ht="30" customHeight="1">
      <x:c r="A345" s="7" t="str">
        <x:v>K340</x:v>
      </x:c>
      <x:c r="B345" s="7" t="str">
        <x:v>schreibtischunterlage leder</x:v>
      </x:c>
      <x:c r="C345" s="7" t="str">
        <x:v>不符结构或功能</x:v>
      </x:c>
      <x:c r="D345" s="7" t="str">
        <x:v>排除候选，确认产品事实</x:v>
      </x:c>
      <x:c r="E345" s="7" t="str">
        <x:v>否</x:v>
      </x:c>
      <x:c r="F345" s="31"/>
      <x:c r="G345" s="31"/>
      <x:c r="H345" s="32" t="str">
        <x:v>无量记录</x:v>
      </x:c>
      <x:c r="I345" s="12"/>
      <x:c r="J345" s="7" t="str">
        <x:v>与平面月下武士桌垫不符或特定结构/功能未经证实</x:v>
      </x:c>
      <x:c r="K345" s="7" t="str">
        <x:v>鼠标垫推广跟进表格-2025.08.16.xlsx / 关键词词库-90 40 行38</x:v>
      </x:c>
    </x:row>
    <x:row r="346" ht="30" customHeight="1">
      <x:c r="A346" s="7" t="str">
        <x:v>K341</x:v>
      </x:c>
      <x:c r="B346" s="7" t="str">
        <x:v>schreibtischunterlage mädchen</x:v>
      </x:c>
      <x:c r="C346" s="7" t="str">
        <x:v>品类或桌面场景</x:v>
      </x:c>
      <x:c r="D346" s="7" t="str">
        <x:v>候选</x:v>
      </x:c>
      <x:c r="E346" s="7" t="str">
        <x:v>否</x:v>
      </x:c>
      <x:c r="F346" s="31"/>
      <x:c r="G346" s="31"/>
      <x:c r="H346" s="32" t="str">
        <x:v>无量记录</x:v>
      </x:c>
      <x:c r="I346" s="12"/>
      <x:c r="J346" s="7" t="str">
        <x:v>品类/桌面使用相关；宽泛桌垫词需小范围测试</x:v>
      </x:c>
      <x:c r="K346" s="7" t="str">
        <x:v>鼠标垫推广跟进表格-2025.08.16.xlsx / 关键词词库-90 40 行37</x:v>
      </x:c>
    </x:row>
    <x:row r="347" ht="30" customHeight="1">
      <x:c r="A347" s="7" t="str">
        <x:v>K342</x:v>
      </x:c>
      <x:c r="B347" s="7" t="str">
        <x:v>schreibtischunterlage papier</x:v>
      </x:c>
      <x:c r="C347" s="7" t="str">
        <x:v>不符结构或功能</x:v>
      </x:c>
      <x:c r="D347" s="7" t="str">
        <x:v>排除候选，确认产品事实</x:v>
      </x:c>
      <x:c r="E347" s="7" t="str">
        <x:v>否</x:v>
      </x:c>
      <x:c r="F347" s="31"/>
      <x:c r="G347" s="31"/>
      <x:c r="H347" s="32" t="str">
        <x:v>无量记录</x:v>
      </x:c>
      <x:c r="I347" s="12"/>
      <x:c r="J347" s="7" t="str">
        <x:v>与平面月下武士桌垫不符或特定结构/功能未经证实</x:v>
      </x:c>
      <x:c r="K347" s="7" t="str">
        <x:v>鼠标垫推广跟进表格-2025.08.16.xlsx / 关键词词库-90 40 行34</x:v>
      </x:c>
    </x:row>
    <x:row r="348" ht="30" customHeight="1">
      <x:c r="A348" s="7" t="str">
        <x:v>K343</x:v>
      </x:c>
      <x:c r="B348" s="7" t="str">
        <x:v>schreibtischunterlage rutschfest</x:v>
      </x:c>
      <x:c r="C348" s="7" t="str">
        <x:v>性能待证实</x:v>
      </x:c>
      <x:c r="D348" s="7" t="str">
        <x:v>保留待核验</x:v>
      </x:c>
      <x:c r="E348" s="7" t="str">
        <x:v>否</x:v>
      </x:c>
      <x:c r="F348" s="31"/>
      <x:c r="G348" s="31" t="n">
        <x:v>89</x:v>
      </x:c>
      <x:c r="H348" s="32" t="str">
        <x:v>搜索量，日期及来源待核；首条原记录</x:v>
      </x:c>
      <x:c r="I348" s="12"/>
      <x:c r="J348" s="7" t="str">
        <x:v>不以竞品标题或评论证明本品性能；投词承诺需另核实</x:v>
      </x:c>
      <x:c r="K348" s="7" t="str">
        <x:v>鼠标垫推广跟进表格-2025.08.16.xlsx / 关键词词库-90 40 行42,179</x:v>
      </x:c>
    </x:row>
    <x:row r="349" ht="30" customHeight="1">
      <x:c r="A349" s="7" t="str">
        <x:v>K344</x:v>
      </x:c>
      <x:c r="B349" s="7" t="str">
        <x:v>schreibtischunterlage schwarz</x:v>
      </x:c>
      <x:c r="C349" s="7" t="str">
        <x:v>黑灰颜色</x:v>
      </x:c>
      <x:c r="D349" s="7" t="str">
        <x:v>低优先级候选</x:v>
      </x:c>
      <x:c r="E349" s="7" t="str">
        <x:v>否</x:v>
      </x:c>
      <x:c r="F349" s="31"/>
      <x:c r="G349" s="31" t="n">
        <x:v>611</x:v>
      </x:c>
      <x:c r="H349" s="32" t="str">
        <x:v>周搜索量，日期及来源待核；首条原记录</x:v>
      </x:c>
      <x:c r="I349" s="12"/>
      <x:c r="J349" s="7" t="str">
        <x:v>主色相关但图案含红粉，不主张纯黑</x:v>
      </x:c>
      <x:c r="K349" s="7" t="str">
        <x:v>鼠标垫推广跟进表格-2025.08.16.xlsx / 关键词词库-90 40 行156</x:v>
      </x:c>
    </x:row>
    <x:row r="350" ht="30" customHeight="1">
      <x:c r="A350" s="7" t="str">
        <x:v>K345</x:v>
      </x:c>
      <x:c r="B350" s="7" t="str">
        <x:v>schreibtischunterlage transparent</x:v>
      </x:c>
      <x:c r="C350" s="7" t="str">
        <x:v>不符结构或功能</x:v>
      </x:c>
      <x:c r="D350" s="7" t="str">
        <x:v>排除候选，确认产品事实</x:v>
      </x:c>
      <x:c r="E350" s="7" t="str">
        <x:v>否</x:v>
      </x:c>
      <x:c r="F350" s="31"/>
      <x:c r="G350" s="31"/>
      <x:c r="H350" s="32" t="str">
        <x:v>无量记录</x:v>
      </x:c>
      <x:c r="I350" s="12"/>
      <x:c r="J350" s="7" t="str">
        <x:v>与平面月下武士桌垫不符或特定结构/功能未经证实</x:v>
      </x:c>
      <x:c r="K350" s="7" t="str">
        <x:v>鼠标垫推广跟进表格-2025.08.16.xlsx / 关键词词库-90 40 行35</x:v>
      </x:c>
    </x:row>
    <x:row r="351" ht="30" customHeight="1">
      <x:c r="A351" s="7" t="str">
        <x:v>K346</x:v>
      </x:c>
      <x:c r="B351" s="7" t="str">
        <x:v>schreibtischunterlage weiß</x:v>
      </x:c>
      <x:c r="C351" s="7" t="str">
        <x:v>其他颜色</x:v>
      </x:c>
      <x:c r="D351" s="7" t="str">
        <x:v>首轮不投</x:v>
      </x:c>
      <x:c r="E351" s="7" t="str">
        <x:v>否</x:v>
      </x:c>
      <x:c r="F351" s="31"/>
      <x:c r="G351" s="31" t="n">
        <x:v>234</x:v>
      </x:c>
      <x:c r="H351" s="32" t="str">
        <x:v>周搜索量，日期及来源待核；首条原记录</x:v>
      </x:c>
      <x:c r="I351" s="12"/>
      <x:c r="J351" s="7" t="str">
        <x:v>非本品黑灰红粉主色；不把所有白色相关短词统一否定</x:v>
      </x:c>
      <x:c r="K351" s="7" t="str">
        <x:v>鼠标垫推广跟进表格-2025.08.16.xlsx / 关键词词库-90 40 行163</x:v>
      </x:c>
    </x:row>
    <x:row r="352" ht="30" customHeight="1">
      <x:c r="A352" s="7" t="str">
        <x:v>K347</x:v>
      </x:c>
      <x:c r="B352" s="7" t="str">
        <x:v>schreibtischunterlage weltkarte</x:v>
      </x:c>
      <x:c r="C352" s="7" t="str">
        <x:v>其他图案</x:v>
      </x:c>
      <x:c r="D352" s="7" t="str">
        <x:v>首轮不投</x:v>
      </x:c>
      <x:c r="E352" s="7" t="str">
        <x:v>否</x:v>
      </x:c>
      <x:c r="F352" s="31"/>
      <x:c r="G352" s="31"/>
      <x:c r="H352" s="32" t="str">
        <x:v>无量记录</x:v>
      </x:c>
      <x:c r="I352" s="12"/>
      <x:c r="J352" s="7" t="str">
        <x:v>其他图案/人物意图，不适合单月下武士ASIN</x:v>
      </x:c>
      <x:c r="K352" s="7" t="str">
        <x:v>鼠标垫推广跟进表格-2025.08.16.xlsx / 关键词词库-90 40 行40</x:v>
      </x:c>
    </x:row>
    <x:row r="353" ht="30" customHeight="1">
      <x:c r="A353" s="7" t="str">
        <x:v>K348</x:v>
      </x:c>
      <x:c r="B353" s="7" t="str">
        <x:v>schreibtischzubehör &amp; ablage</x:v>
      </x:c>
      <x:c r="C353" s="7" t="str">
        <x:v>宽泛配件</x:v>
      </x:c>
      <x:c r="D353" s="7" t="str">
        <x:v>保留待核验</x:v>
      </x:c>
      <x:c r="E353" s="7" t="str">
        <x:v>否</x:v>
      </x:c>
      <x:c r="F353" s="31"/>
      <x:c r="G353" s="31" t="n">
        <x:v>256</x:v>
      </x:c>
      <x:c r="H353" s="32" t="str">
        <x:v>周搜索量，日期及来源待核；首条原记录</x:v>
      </x:c>
      <x:c r="I353" s="12"/>
      <x:c r="J353" s="7" t="str">
        <x:v>范围过宽，首轮暂不分散预算</x:v>
      </x:c>
      <x:c r="K353" s="7" t="str">
        <x:v>鼠标垫推广跟进表格-2025.08.16.xlsx / 关键词词库-90 40 行198
鼠标垫推广跟进表格-2025.08.16.xlsx / 关键词词库-小尺寸加护托 行19</x:v>
      </x:c>
    </x:row>
    <x:row r="354" ht="30" customHeight="1">
      <x:c r="A354" s="7" t="str">
        <x:v>K349</x:v>
      </x:c>
      <x:c r="B354" s="7" t="str">
        <x:v>sharkoon mauspad</x:v>
      </x:c>
      <x:c r="C354" s="7" t="str">
        <x:v>竞品品牌</x:v>
      </x:c>
      <x:c r="D354" s="7" t="str">
        <x:v>保留待核验</x:v>
      </x:c>
      <x:c r="E354" s="7" t="str">
        <x:v>否</x:v>
      </x:c>
      <x:c r="F354" s="31"/>
      <x:c r="G354" s="31" t="n">
        <x:v>183</x:v>
      </x:c>
      <x:c r="H354" s="32" t="str">
        <x:v>周搜索量，日期及来源待核；首条原记录</x:v>
      </x:c>
      <x:c r="I354" s="12"/>
      <x:c r="J354" s="7" t="str">
        <x:v>首轮不验证竞品品牌意图；可另设专项，不能当自有品牌</x:v>
      </x:c>
      <x:c r="K354" s="7" t="str">
        <x:v>鼠标垫推广跟进表格-2025.08.16.xlsx / 关键词词库-90 40 行142
鼠标垫推广跟进表格-2025.08.16.xlsx / 关键词词库-小尺寸加护托 行68</x:v>
      </x:c>
    </x:row>
    <x:row r="355" ht="30" customHeight="1">
      <x:c r="A355" s="7" t="str">
        <x:v>K350</x:v>
      </x:c>
      <x:c r="B355" s="7" t="str">
        <x:v>steelseries mauspad</x:v>
      </x:c>
      <x:c r="C355" s="7" t="str">
        <x:v>竞品品牌</x:v>
      </x:c>
      <x:c r="D355" s="7" t="str">
        <x:v>保留待核验</x:v>
      </x:c>
      <x:c r="E355" s="7" t="str">
        <x:v>否</x:v>
      </x:c>
      <x:c r="F355" s="31"/>
      <x:c r="G355" s="31" t="n">
        <x:v>600</x:v>
      </x:c>
      <x:c r="H355" s="32" t="str">
        <x:v>周搜索量，日期及来源待核；首条原记录</x:v>
      </x:c>
      <x:c r="I355" s="12"/>
      <x:c r="J355" s="7" t="str">
        <x:v>首轮不验证竞品品牌意图；可另设专项，不能当自有品牌</x:v>
      </x:c>
      <x:c r="K355" s="7" t="str">
        <x:v>鼠标垫推广跟进表格-2025.08.16.xlsx / 关键词词库-90 40 行127
鼠标垫推广跟进表格-2025.08.16.xlsx / 关键词词库-小尺寸加护托 行69</x:v>
      </x:c>
    </x:row>
    <x:row r="356" ht="30" customHeight="1">
      <x:c r="A356" s="7" t="str">
        <x:v>K351</x:v>
      </x:c>
      <x:c r="B356" s="7" t="str">
        <x:v>steelseries mousepad</x:v>
      </x:c>
      <x:c r="C356" s="7" t="str">
        <x:v>竞品品牌</x:v>
      </x:c>
      <x:c r="D356" s="7" t="str">
        <x:v>保留待核验</x:v>
      </x:c>
      <x:c r="E356" s="7" t="str">
        <x:v>否</x:v>
      </x:c>
      <x:c r="F356" s="31"/>
      <x:c r="G356" s="31" t="n">
        <x:v>256</x:v>
      </x:c>
      <x:c r="H356" s="32" t="str">
        <x:v>周搜索量，日期及来源待核；首条原记录</x:v>
      </x:c>
      <x:c r="I356" s="12"/>
      <x:c r="J356" s="7" t="str">
        <x:v>首轮不验证竞品品牌意图；可另设专项，不能当自有品牌</x:v>
      </x:c>
      <x:c r="K356" s="7" t="str">
        <x:v>鼠标垫推广跟进表格-2025.08.16.xlsx / 关键词词库-90 40 行137</x:v>
      </x:c>
    </x:row>
    <x:row r="357" ht="30" customHeight="1">
      <x:c r="A357" s="7" t="str">
        <x:v>K352</x:v>
      </x:c>
      <x:c r="B357" s="7" t="str">
        <x:v>tastatur unterlage</x:v>
      </x:c>
      <x:c r="C357" s="7" t="str">
        <x:v>相关性待核实</x:v>
      </x:c>
      <x:c r="D357" s="7" t="str">
        <x:v>保留待核验</x:v>
      </x:c>
      <x:c r="E357" s="7" t="str">
        <x:v>否</x:v>
      </x:c>
      <x:c r="F357" s="31"/>
      <x:c r="G357" s="31" t="n">
        <x:v>321</x:v>
      </x:c>
      <x:c r="H357" s="32" t="str">
        <x:v>周搜索量，日期及来源待核；首条原记录</x:v>
      </x:c>
      <x:c r="I357" s="12"/>
      <x:c r="J357" s="7" t="str">
        <x:v>含义或相关性待人工复核</x:v>
      </x:c>
      <x:c r="K357" s="7" t="str">
        <x:v>鼠标垫推广跟进表格-2025.08.16.xlsx / 关键词词库-90 40 行215</x:v>
      </x:c>
    </x:row>
    <x:row r="358" ht="30" customHeight="1">
      <x:c r="A358" s="7" t="str">
        <x:v>K353</x:v>
      </x:c>
      <x:c r="B358" s="7" t="str">
        <x:v>tastatur unterlage schreibtisch</x:v>
      </x:c>
      <x:c r="C358" s="7" t="str">
        <x:v>相关性待核实</x:v>
      </x:c>
      <x:c r="D358" s="7" t="str">
        <x:v>保留待核验</x:v>
      </x:c>
      <x:c r="E358" s="7" t="str">
        <x:v>否</x:v>
      </x:c>
      <x:c r="F358" s="31"/>
      <x:c r="G358" s="31" t="n">
        <x:v>128</x:v>
      </x:c>
      <x:c r="H358" s="32" t="str">
        <x:v>周搜索量，日期及来源待核；首条原记录</x:v>
      </x:c>
      <x:c r="I358" s="12"/>
      <x:c r="J358" s="7" t="str">
        <x:v>含义或相关性待人工复核</x:v>
      </x:c>
      <x:c r="K358" s="7" t="str">
        <x:v>鼠标垫推广跟进表格-2025.08.16.xlsx / 关键词词库-90 40 行216</x:v>
      </x:c>
    </x:row>
    <x:row r="359" ht="30" customHeight="1">
      <x:c r="A359" s="7" t="str">
        <x:v>K354</x:v>
      </x:c>
      <x:c r="B359" s="7" t="str">
        <x:v>tastenmeister mauspad</x:v>
      </x:c>
      <x:c r="C359" s="7" t="str">
        <x:v>竞品品牌</x:v>
      </x:c>
      <x:c r="D359" s="7" t="str">
        <x:v>保留待核验</x:v>
      </x:c>
      <x:c r="E359" s="7" t="str">
        <x:v>否</x:v>
      </x:c>
      <x:c r="F359" s="31"/>
      <x:c r="G359" s="31" t="n">
        <x:v>683</x:v>
      </x:c>
      <x:c r="H359" s="32" t="str">
        <x:v>周搜索量，日期及来源待核；首条原记录</x:v>
      </x:c>
      <x:c r="I359" s="12"/>
      <x:c r="J359" s="7" t="str">
        <x:v>首轮不验证竞品品牌意图；可另设专项，不能当自有品牌</x:v>
      </x:c>
      <x:c r="K359" s="7" t="str">
        <x:v>鼠标垫推广跟进表格-2025.08.16.xlsx / 关键词词库-90 40 行141
鼠标垫推广跟进表格-2025.08.16.xlsx / 关键词词库-小尺寸加护托 行63</x:v>
      </x:c>
    </x:row>
    <x:row r="360" ht="30" customHeight="1">
      <x:c r="A360" s="7" t="str">
        <x:v>K355</x:v>
      </x:c>
      <x:c r="B360" s="7" t="str">
        <x:v>tecknet mauspad</x:v>
      </x:c>
      <x:c r="C360" s="7" t="str">
        <x:v>品类或桌面场景</x:v>
      </x:c>
      <x:c r="D360" s="7" t="str">
        <x:v>候选</x:v>
      </x:c>
      <x:c r="E360" s="7" t="str">
        <x:v>否</x:v>
      </x:c>
      <x:c r="F360" s="31"/>
      <x:c r="G360" s="31"/>
      <x:c r="H360" s="32" t="str">
        <x:v>无量记录</x:v>
      </x:c>
      <x:c r="I360" s="12"/>
      <x:c r="J360" s="7" t="str">
        <x:v>品类/桌面使用相关；宽泛桌垫词需小范围测试</x:v>
      </x:c>
      <x:c r="K360" s="7" t="str">
        <x:v>鼠标垫推广跟进表格-2025.08.16.xlsx / 关键词词库-小尺寸加护托 行72</x:v>
      </x:c>
    </x:row>
    <x:row r="361" ht="30" customHeight="1">
      <x:c r="A361" s="7" t="str">
        <x:v>K356</x:v>
      </x:c>
      <x:c r="B361" s="7" t="str">
        <x:v>tischunterlage schreibtisch</x:v>
      </x:c>
      <x:c r="C361" s="7" t="str">
        <x:v>品类或桌面场景</x:v>
      </x:c>
      <x:c r="D361" s="7" t="str">
        <x:v>候选</x:v>
      </x:c>
      <x:c r="E361" s="7" t="str">
        <x:v>否</x:v>
      </x:c>
      <x:c r="F361" s="31"/>
      <x:c r="G361" s="31" t="n">
        <x:v>727</x:v>
      </x:c>
      <x:c r="H361" s="32" t="str">
        <x:v>周搜索量，日期及来源待核；首条原记录</x:v>
      </x:c>
      <x:c r="I361" s="12"/>
      <x:c r="J361" s="7" t="str">
        <x:v>品类/桌面使用相关；宽泛桌垫词需小范围测试</x:v>
      </x:c>
      <x:c r="K361" s="7" t="str">
        <x:v>鼠标垫推广跟进表格-2025.08.16.xlsx / 关键词词库-90 40 行202</x:v>
      </x:c>
    </x:row>
    <x:row r="362" ht="30" customHeight="1">
      <x:c r="A362" s="7" t="str">
        <x:v>K357</x:v>
      </x:c>
      <x:c r="B362" s="7" t="str">
        <x:v>titanwolf mauspad 1200x600</x:v>
      </x:c>
      <x:c r="C362" s="7" t="str">
        <x:v>竞品品牌</x:v>
      </x:c>
      <x:c r="D362" s="7" t="str">
        <x:v>保留待核验</x:v>
      </x:c>
      <x:c r="E362" s="7" t="str">
        <x:v>否</x:v>
      </x:c>
      <x:c r="F362" s="31"/>
      <x:c r="G362" s="31" t="n">
        <x:v>148</x:v>
      </x:c>
      <x:c r="H362" s="32" t="str">
        <x:v>周搜索量，日期及来源待核；首条原记录</x:v>
      </x:c>
      <x:c r="I362" s="12"/>
      <x:c r="J362" s="7" t="str">
        <x:v>首轮不验证竞品品牌意图；可另设专项，不能当自有品牌</x:v>
      </x:c>
      <x:c r="K362" s="7" t="str">
        <x:v>鼠标垫推广跟进表格-2025.08.16.xlsx / 关键词词库-90 40 行149</x:v>
      </x:c>
    </x:row>
    <x:row r="363" ht="30" customHeight="1">
      <x:c r="A363" s="7" t="str">
        <x:v>K358</x:v>
      </x:c>
      <x:c r="B363" s="7" t="str">
        <x:v>topographic map xxl white mousepad</x:v>
      </x:c>
      <x:c r="C363" s="7" t="str">
        <x:v>其他颜色</x:v>
      </x:c>
      <x:c r="D363" s="7" t="str">
        <x:v>首轮不投</x:v>
      </x:c>
      <x:c r="E363" s="7" t="str">
        <x:v>否</x:v>
      </x:c>
      <x:c r="F363" s="31"/>
      <x:c r="G363" s="31"/>
      <x:c r="H363" s="32" t="str">
        <x:v>无量记录</x:v>
      </x:c>
      <x:c r="I363" s="12"/>
      <x:c r="J363" s="7" t="str">
        <x:v>非本品黑灰红粉主色；不把所有白色相关短词统一否定</x:v>
      </x:c>
      <x:c r="K363" s="7" t="str">
        <x:v>鼠标垫推广跟进表格-2025.08.16.xlsx / 2026.08.07梳理ST关键词 行28</x:v>
      </x:c>
    </x:row>
    <x:row r="364" ht="30" customHeight="1">
      <x:c r="A364" s="7" t="str">
        <x:v>K359</x:v>
      </x:c>
      <x:c r="B364" s="7" t="str">
        <x:v>weißes mauspad</x:v>
      </x:c>
      <x:c r="C364" s="7" t="str">
        <x:v>其他颜色</x:v>
      </x:c>
      <x:c r="D364" s="7" t="str">
        <x:v>首轮不投</x:v>
      </x:c>
      <x:c r="E364" s="7" t="str">
        <x:v>否</x:v>
      </x:c>
      <x:c r="F364" s="31"/>
      <x:c r="G364" s="31" t="n">
        <x:v>125</x:v>
      </x:c>
      <x:c r="H364" s="32" t="str">
        <x:v>周搜索量，日期及来源待核；首条原记录</x:v>
      </x:c>
      <x:c r="I364" s="12"/>
      <x:c r="J364" s="7" t="str">
        <x:v>非本品黑灰红粉主色；不把所有白色相关短词统一否定</x:v>
      </x:c>
      <x:c r="K364" s="7" t="str">
        <x:v>鼠标垫推广跟进表格-2025.08.16.xlsx / 关键词词库-90 40 行171</x:v>
      </x:c>
    </x:row>
    <x:row r="365" ht="30" customHeight="1">
      <x:c r="A365" s="7" t="str">
        <x:v>K360</x:v>
      </x:c>
      <x:c r="B365" s="7" t="str">
        <x:v>white mouse pad</x:v>
      </x:c>
      <x:c r="C365" s="7" t="str">
        <x:v>其他颜色</x:v>
      </x:c>
      <x:c r="D365" s="7" t="str">
        <x:v>首轮不投</x:v>
      </x:c>
      <x:c r="E365" s="7" t="str">
        <x:v>否</x:v>
      </x:c>
      <x:c r="F365" s="31"/>
      <x:c r="G365" s="31" t="n">
        <x:v>77</x:v>
      </x:c>
      <x:c r="H365" s="32" t="str">
        <x:v>周搜索量，日期及来源待核；首条原记录</x:v>
      </x:c>
      <x:c r="I365" s="12"/>
      <x:c r="J365" s="7" t="str">
        <x:v>非本品黑灰红粉主色；不把所有白色相关短词统一否定</x:v>
      </x:c>
      <x:c r="K365" s="7" t="str">
        <x:v>鼠标垫推广跟进表格-2025.08.16.xlsx / 关键词词库-90 40 行173</x:v>
      </x:c>
    </x:row>
    <x:row r="366" ht="30" customHeight="1">
      <x:c r="A366" s="7" t="str">
        <x:v>K361</x:v>
      </x:c>
      <x:c r="B366" s="7" t="str">
        <x:v>white mousepad</x:v>
      </x:c>
      <x:c r="C366" s="7" t="str">
        <x:v>其他颜色</x:v>
      </x:c>
      <x:c r="D366" s="7" t="str">
        <x:v>首轮不投</x:v>
      </x:c>
      <x:c r="E366" s="7" t="str">
        <x:v>否</x:v>
      </x:c>
      <x:c r="F366" s="31"/>
      <x:c r="G366" s="31" t="n">
        <x:v>286</x:v>
      </x:c>
      <x:c r="H366" s="32" t="str">
        <x:v>周搜索量，日期及来源待核；首条原记录</x:v>
      </x:c>
      <x:c r="I366" s="12"/>
      <x:c r="J366" s="7" t="str">
        <x:v>非本品黑灰红粉主色；不把所有白色相关短词统一否定</x:v>
      </x:c>
      <x:c r="K366" s="7" t="str">
        <x:v>鼠标垫推广跟进表格-2025.08.16.xlsx / 关键词词库-90 40 行159</x:v>
      </x:c>
    </x:row>
    <x:row r="367" ht="30" customHeight="1">
      <x:c r="A367" s="7" t="str">
        <x:v>K362</x:v>
      </x:c>
      <x:c r="B367" s="7" t="str">
        <x:v>wrist rest</x:v>
      </x:c>
      <x:c r="C367" s="7" t="str">
        <x:v>不符结构或功能</x:v>
      </x:c>
      <x:c r="D367" s="7" t="str">
        <x:v>排除候选，确认产品事实</x:v>
      </x:c>
      <x:c r="E367" s="7" t="str">
        <x:v>否</x:v>
      </x:c>
      <x:c r="F367" s="31"/>
      <x:c r="G367" s="31"/>
      <x:c r="H367" s="32" t="str">
        <x:v>无量记录</x:v>
      </x:c>
      <x:c r="I367" s="12"/>
      <x:c r="J367" s="7" t="str">
        <x:v>与平面月下武士桌垫不符或特定结构/功能未经证实</x:v>
      </x:c>
      <x:c r="K367" s="7" t="str">
        <x:v>鼠标垫推广跟进表格-2025.08.16.xlsx / 关键词词库-小尺寸加护托 行13</x:v>
      </x:c>
    </x:row>
    <x:row r="368" ht="30" customHeight="1">
      <x:c r="A368" s="7" t="str">
        <x:v>K363</x:v>
      </x:c>
      <x:c r="B368" s="7" t="str">
        <x:v>xxl mauspad 1200x600</x:v>
      </x:c>
      <x:c r="C368" s="7" t="str">
        <x:v>1200版尺寸</x:v>
      </x:c>
      <x:c r="D368" s="7" t="str">
        <x:v>其他尺寸单独处理</x:v>
      </x:c>
      <x:c r="E368" s="7" t="str">
        <x:v>否</x:v>
      </x:c>
      <x:c r="F368" s="31"/>
      <x:c r="G368" s="31" t="n">
        <x:v>263</x:v>
      </x:c>
      <x:c r="H368" s="32" t="str">
        <x:v>周搜索量，日期及来源待核；首条原记录</x:v>
      </x:c>
      <x:c r="I368" s="12"/>
      <x:c r="J368" s="7" t="str">
        <x:v>属于1200版，不进入本轮900版</x:v>
      </x:c>
      <x:c r="K368" s="7" t="str">
        <x:v>鼠标垫推广跟进表格-2025.08.16.xlsx / 关键词词库-90 40 行82</x:v>
      </x:c>
    </x:row>
    <x:row r="369" ht="30" customHeight="1">
      <x:c r="A369" s="7" t="str">
        <x:v>K364</x:v>
      </x:c>
      <x:c r="B369" s="7" t="str">
        <x:v>xxl schreibtischunterlage</x:v>
      </x:c>
      <x:c r="C369" s="7" t="str">
        <x:v>大尺寸</x:v>
      </x:c>
      <x:c r="D369" s="7" t="str">
        <x:v>候选</x:v>
      </x:c>
      <x:c r="E369" s="7" t="str">
        <x:v>否</x:v>
      </x:c>
      <x:c r="F369" s="31"/>
      <x:c r="G369" s="31"/>
      <x:c r="H369" s="32" t="str">
        <x:v>无量记录</x:v>
      </x:c>
      <x:c r="I369" s="12"/>
      <x:c r="J369" s="7" t="str">
        <x:v>大桌垫相关；超大规格用词不替代明确尺寸</x:v>
      </x:c>
      <x:c r="K369" s="7" t="str">
        <x:v>鼠标垫推广跟进表格-2025.08.16.xlsx / 关键词词库-90 40 行74</x:v>
      </x:c>
    </x:row>
    <x:row r="370" ht="30" customHeight="1">
      <x:c r="A370" s="7" t="str">
        <x:v>K365</x:v>
      </x:c>
      <x:c r="B370" s="7" t="str">
        <x:v>zowie mauspad</x:v>
      </x:c>
      <x:c r="C370" s="7" t="str">
        <x:v>竞品品牌</x:v>
      </x:c>
      <x:c r="D370" s="7" t="str">
        <x:v>保留待核验</x:v>
      </x:c>
      <x:c r="E370" s="7" t="str">
        <x:v>否</x:v>
      </x:c>
      <x:c r="F370" s="31"/>
      <x:c r="G370" s="31" t="n">
        <x:v>125</x:v>
      </x:c>
      <x:c r="H370" s="32" t="str">
        <x:v>周搜索量，日期及来源待核；首条原记录</x:v>
      </x:c>
      <x:c r="I370" s="12"/>
      <x:c r="J370" s="7" t="str">
        <x:v>首轮不验证竞品品牌意图；可另设专项，不能当自有品牌</x:v>
      </x:c>
      <x:c r="K370" s="7" t="str">
        <x:v>鼠标垫推广跟进表格-2025.08.16.xlsx / 关键词词库-90 40 行145</x:v>
      </x:c>
    </x:row>
    <x:row r="371" ht="30" customHeight="1">
      <x:c r="A371" s="7" t="str">
        <x:v>K366</x:v>
      </x:c>
      <x:c r="B371" s="7" t="str">
        <x:v>大尺寸/游戏鼠标垫关键词</x:v>
      </x:c>
      <x:c r="C371" s="7" t="str">
        <x:v>相关性待核实</x:v>
      </x:c>
      <x:c r="D371" s="7" t="str">
        <x:v>保留待核验</x:v>
      </x:c>
      <x:c r="E371" s="7" t="str">
        <x:v>否</x:v>
      </x:c>
      <x:c r="F371" s="31"/>
      <x:c r="G371" s="31"/>
      <x:c r="H371" s="32" t="str">
        <x:v>无量记录</x:v>
      </x:c>
      <x:c r="I371" s="12"/>
      <x:c r="J371" s="7" t="str">
        <x:v>含义或相关性待人工复核</x:v>
      </x:c>
      <x:c r="K371" s="7" t="str">
        <x:v>鼠标垫推广跟进表格-2025.08.16.xlsx / 关键词词库-小尺寸加护托 行76</x:v>
      </x:c>
    </x:row>
    <x:row r="372" ht="30" customHeight="1">
      <x:c r="A372" s="7" t="str">
        <x:v>K367</x:v>
      </x:c>
      <x:c r="B372" s="7" t="str">
        <x:v>畅销品牌+核心关键词</x:v>
      </x:c>
      <x:c r="C372" s="7" t="str">
        <x:v>相关性待核实</x:v>
      </x:c>
      <x:c r="D372" s="7" t="str">
        <x:v>保留待核验</x:v>
      </x:c>
      <x:c r="E372" s="7" t="str">
        <x:v>否</x:v>
      </x:c>
      <x:c r="F372" s="31"/>
      <x:c r="G372" s="31"/>
      <x:c r="H372" s="32" t="str">
        <x:v>无量记录</x:v>
      </x:c>
      <x:c r="I372" s="12"/>
      <x:c r="J372" s="7" t="str">
        <x:v>含义或相关性待人工复核</x:v>
      </x:c>
      <x:c r="K372" s="7" t="str">
        <x:v>鼠标垫推广跟进表格-2025.08.16.xlsx / 关键词词库-小尺寸加护托 行58</x:v>
      </x:c>
    </x:row>
  </x:sheetData>
  <x:dataValidations count="1">
    <x:dataValidation type="list" sqref="I6:I372">
      <x:formula1>"采用,保留待测,排除,需补证据"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16a05696e54e6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62" hidden="0" customWidth="1"/>
    <x:col min="4" max="4" width="64" hidden="0" customWidth="1"/>
    <x:col min="5" max="5" width="59" hidden="0" customWidth="1"/>
    <x:col min="6" max="6" width="26" hidden="0" customWidth="1"/>
    <x:col min="7" max="7" width="26" hidden="0" customWidth="1"/>
    <x:col min="8" max="8" width="20" hidden="0" customWidth="1"/>
    <x:col min="9" max="9" width="24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7" customHeight="1">
      <x:c r="A2" s="3" t="str">
        <x:v>首两周执行与复盘</x:v>
      </x:c>
      <x:c r="B2" s="4"/>
      <x:c r="C2" s="4"/>
      <x:c r="D2" s="4"/>
      <x:c r="E2" s="4"/>
      <x:c r="F2" s="4"/>
      <x:c r="G2" s="4"/>
      <x:c r="H2" s="4"/>
      <x:c r="I2" s="4"/>
    </x:row>
    <x:row r="3" ht="20" customHeight="1">
      <x:c r="A3" s="5" t="str">
        <x:v>900 × 400 × 3 mm    ASIN B0H5HKNFDM    DE / EUR    2026-10-04</x:v>
      </x:c>
      <x:c r="B3" s="5"/>
      <x:c r="C3" s="5"/>
      <x:c r="D3" s="5"/>
      <x:c r="E3" s="5"/>
      <x:c r="F3" s="5"/>
      <x:c r="G3" s="5"/>
      <x:c r="H3" s="5"/>
      <x:c r="I3" s="5"/>
    </x:row>
    <x:row r="4" ht="20" customHeight="1">
      <x:c r="A4" s="5" t="str">
        <x:v>第7天核对送量和相关性。第14天结合归因回补、费用、库存和真实销售复盘。</x:v>
      </x:c>
      <x:c r="B4" s="5"/>
      <x:c r="C4" s="5"/>
      <x:c r="D4" s="5"/>
      <x:c r="E4" s="5"/>
      <x:c r="F4" s="5"/>
      <x:c r="G4" s="5"/>
      <x:c r="H4" s="5"/>
      <x:c r="I4" s="5"/>
    </x:row>
    <x:row r="5" ht="42" customHeight="1">
      <x:c r="A5" s="10" t="str">
        <x:v>时间</x:v>
      </x:c>
      <x:c r="B5" s="10" t="str">
        <x:v>工作</x:v>
      </x:c>
      <x:c r="C5" s="10" t="str">
        <x:v>必要输入</x:v>
      </x:c>
      <x:c r="D5" s="10" t="str">
        <x:v>AI交付</x:v>
      </x:c>
      <x:c r="E5" s="10" t="str">
        <x:v>验收与处理</x:v>
      </x:c>
      <x:c r="F5" s="10" t="str">
        <x:v>责任角色</x:v>
      </x:c>
      <x:c r="G5" s="10" t="str">
        <x:v>执行记录</x:v>
      </x:c>
      <x:c r="H5" s="10" t="str">
        <x:v>实际完成日期</x:v>
      </x:c>
      <x:c r="I5" s="10" t="str">
        <x:v>状态</x:v>
      </x:c>
    </x:row>
    <x:row r="6" ht="30" customHeight="1">
      <x:c r="A6" s="7" t="str">
        <x:v>D0</x:v>
      </x:c>
      <x:c r="B6" s="7" t="str">
        <x:v>输入与资格核对</x:v>
      </x:c>
      <x:c r="C6" s="7" t="str">
        <x:v>SKU/ASIN/当前库存报价/现有活动/成本/预算</x:v>
      </x:c>
      <x:c r="D6" s="7" t="str">
        <x:v>重复活动检查和可执行参数草案</x:v>
      </x:c>
      <x:c r="E6" s="7" t="str">
        <x:v>有库存和资格；不复制2025旧竞价</x:v>
      </x:c>
      <x:c r="F6" s="7" t="str">
        <x:v>广告增长负责人</x:v>
      </x:c>
      <x:c r="G6" s="12"/>
      <x:c r="H6" s="19"/>
      <x:c r="I6" s="12"/>
    </x:row>
    <x:row r="7" ht="30" customHeight="1">
      <x:c r="A7" s="7" t="str">
        <x:v>D1-D3</x:v>
      </x:c>
      <x:c r="B7" s="7" t="str">
        <x:v>送量检查</x:v>
      </x:c>
      <x:c r="C7" s="7" t="str">
        <x:v>逐目标曝光、点击、花费、状态、预算</x:v>
      </x:c>
      <x:c r="D7" s="7" t="str">
        <x:v>资格/曝光/CTR/预算问题诊断</x:v>
      </x:c>
      <x:c r="E7" s="7" t="str">
        <x:v>无曝光先查资格与相关性，再按已定阶梯调整</x:v>
      </x:c>
      <x:c r="F7" s="7" t="str">
        <x:v>广告增长负责人</x:v>
      </x:c>
      <x:c r="G7" s="12"/>
      <x:c r="H7" s="19"/>
      <x:c r="I7" s="12"/>
    </x:row>
    <x:row r="8" ht="30" customHeight="1">
      <x:c r="A8" s="7" t="str">
        <x:v>D4-D7，第7天检查</x:v>
      </x:c>
      <x:c r="B8" s="7" t="str">
        <x:v>查询清洗</x:v>
      </x:c>
      <x:c r="C8" s="7" t="str">
        <x:v>真实搜索词/ASIN，成熟与未成熟分列</x:v>
      </x:c>
      <x:c r="D8" s="7" t="str">
        <x:v>不相关排除候选和变更台账</x:v>
      </x:c>
      <x:c r="E8" s="7" t="str">
        <x:v>相关无单词须检查样本和归因，不机械否定</x:v>
      </x:c>
      <x:c r="F8" s="7" t="str">
        <x:v>广告增长负责人</x:v>
      </x:c>
      <x:c r="G8" s="12"/>
      <x:c r="H8" s="19"/>
      <x:c r="I8" s="12"/>
    </x:row>
    <x:row r="9" ht="30" customHeight="1">
      <x:c r="A9" s="7" t="str">
        <x:v>D8-D10</x:v>
      </x:c>
      <x:c r="B9" s="7" t="str">
        <x:v>回补与样本评价</x:v>
      </x:c>
      <x:c r="C9" s="7" t="str">
        <x:v>回补报表、库存/报价和预算限制</x:v>
      </x:c>
      <x:c r="D9" s="7" t="str">
        <x:v>有效查询精准候选与预算调整建议</x:v>
      </x:c>
      <x:c r="E9" s="7" t="str">
        <x:v>总测试额和库存能支持才扩量</x:v>
      </x:c>
      <x:c r="F9" s="7" t="str">
        <x:v>广告增长负责人</x:v>
      </x:c>
      <x:c r="G9" s="12"/>
      <x:c r="H9" s="19"/>
      <x:c r="I9" s="12"/>
    </x:row>
    <x:row r="10" ht="30" customHeight="1">
      <x:c r="A10" s="7" t="str">
        <x:v>D11-D14，第14天复盘</x:v>
      </x:c>
      <x:c r="B10" s="7" t="str">
        <x:v>阶段复盘</x:v>
      </x:c>
      <x:c r="C10" s="7" t="str">
        <x:v>较成熟广告数据+经营销售+成本+动作记录</x:v>
      </x:c>
      <x:c r="D10" s="7" t="str">
        <x:v>保留/提价/降价/否定/暂停/补词及证据</x:v>
      </x:c>
      <x:c r="E10" s="7" t="str">
        <x:v>有数据才能判断利润、ACoS；缺项写不可判定</x:v>
      </x:c>
      <x:c r="F10" s="7" t="str">
        <x:v>广告增长负责人</x:v>
      </x:c>
      <x:c r="G10" s="12"/>
      <x:c r="H10" s="19"/>
      <x:c r="I10" s="12"/>
    </x:row>
  </x:sheetData>
  <x:dataValidations count="1">
    <x:dataValidation type="list" sqref="I6:I10">
      <x:formula1>"待补输入,待执行,执行中,已完成,需调整"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dcde0c7be9441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  <x:col min="7" max="7" width="64" hidden="0" customWidth="1"/>
    <x:col min="8" max="8" width="67" hidden="0" customWidth="1"/>
    <x:col min="9" max="9" width="36" hidden="0" customWidth="1"/>
    <x:col min="10" max="10" width="59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7" customHeight="1">
      <x:c r="A2" s="3" t="str">
        <x:v>2026历史记录与库存事件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0" customHeight="1">
      <x:c r="A3" s="5" t="str">
        <x:v>900 × 400 × 3 mm    ASIN B0H5HKNFDM    DE / EUR    2026-10-04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0" customHeight="1">
      <x:c r="A4" s="5" t="str">
        <x:v>全款式与月下武士栏均非单ASIN广告表现。人工干预订单不用于验证真实转化。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 ht="42" customHeight="1">
      <x:c r="A5" s="10" t="str">
        <x:v>日期</x:v>
      </x:c>
      <x:c r="B5" s="10" t="str">
        <x:v>月下武士栏订单</x:v>
      </x:c>
      <x:c r="C5" s="10" t="str">
        <x:v>其中人工干预单</x:v>
      </x:c>
      <x:c r="D5" s="10" t="str">
        <x:v>全款式总订单</x:v>
      </x:c>
      <x:c r="E5" s="10" t="str">
        <x:v>全款式人工干预单</x:v>
      </x:c>
      <x:c r="F5" s="10" t="str">
        <x:v>记录流量全款式</x:v>
      </x:c>
      <x:c r="G5" s="10" t="str">
        <x:v>经营备注</x:v>
      </x:c>
      <x:c r="H5" s="10" t="str">
        <x:v>广告动作</x:v>
      </x:c>
      <x:c r="I5" s="10" t="str">
        <x:v>数据性质</x:v>
      </x:c>
      <x:c r="J5" s="10" t="str">
        <x:v>来源文件及行</x:v>
      </x:c>
    </x:row>
    <x:row r="6" ht="40" customHeight="1">
      <x:c r="A6" s="33" t="n">
        <x:v>46239</x:v>
      </x:c>
      <x:c r="B6" s="31"/>
      <x:c r="C6" s="31"/>
      <x:c r="D6" s="31"/>
      <x:c r="E6" s="31"/>
      <x:c r="F6" s="31"/>
      <x:c r="G6" s="7" t="str">
        <x:v>完善完所有图片主附图/A+，添加进入旧款的关联坑位/提报月下武士绿标/先不捆绑变体</x:v>
      </x:c>
      <x:c r="H6" s="7" t="str">
        <x:v>开1组自动/1组大词/1组长尾</x:v>
      </x:c>
      <x:c r="I6" s="7" t="str">
        <x:v>事件或模板，不能认定销量</x:v>
      </x:c>
      <x:c r="J6" s="7" t="str">
        <x:v>鼠标垫推广跟进表格-2025.08.16.xlsx / 新款鼠标垫出单跟进 行3</x:v>
      </x:c>
    </x:row>
    <x:row r="7" ht="30" customHeight="1">
      <x:c r="A7" s="33" t="n">
        <x:v>46240</x:v>
      </x:c>
      <x:c r="B7" s="31"/>
      <x:c r="C7" s="31"/>
      <x:c r="D7" s="31"/>
      <x:c r="E7" s="31"/>
      <x:c r="F7" s="31"/>
      <x:c r="G7" s="7" t="str">
        <x:v>捆绑变体</x:v>
      </x:c>
      <x:c r="H7" s="7" t="str">
        <x:v>加入25年款的品牌手动广告组/跟25年款式一起创建一个头条广告组</x:v>
      </x:c>
      <x:c r="I7" s="7" t="str">
        <x:v>事件或模板，不能认定销量</x:v>
      </x:c>
      <x:c r="J7" s="7" t="str">
        <x:v>鼠标垫推广跟进表格-2025.08.16.xlsx / 新款鼠标垫出单跟进 行4</x:v>
      </x:c>
    </x:row>
    <x:row r="8" ht="30" customHeight="1">
      <x:c r="A8" s="33" t="n">
        <x:v>46241</x:v>
      </x:c>
      <x:c r="B8" s="31" t="n">
        <x:v>3</x:v>
      </x:c>
      <x:c r="C8" s="31" t="n">
        <x:v>3</x:v>
      </x:c>
      <x:c r="D8" s="31" t="n">
        <x:v>4</x:v>
      </x:c>
      <x:c r="E8" s="31" t="n">
        <x:v>3</x:v>
      </x:c>
      <x:c r="F8" s="31" t="n">
        <x:v>20</x:v>
      </x:c>
      <x:c r="G8" s="7" t="str">
        <x:v>2单留评单</x:v>
      </x:c>
      <x:c r="H8" s="7" t="str">
        <x:v>完善广告手动组架构</x:v>
      </x:c>
      <x:c r="I8" s="7" t="str">
        <x:v>款式订单台账</x:v>
      </x:c>
      <x:c r="J8" s="7" t="str">
        <x:v>鼠标垫推广跟进表格-2025.08.16.xlsx / 新款鼠标垫出单跟进 行5</x:v>
      </x:c>
    </x:row>
    <x:row r="9" ht="30" customHeight="1">
      <x:c r="A9" s="33" t="n">
        <x:v>46242</x:v>
      </x:c>
      <x:c r="B9" s="31" t="n">
        <x:v>3</x:v>
      </x:c>
      <x:c r="C9" s="31" t="n">
        <x:v>1</x:v>
      </x:c>
      <x:c r="D9" s="31" t="n">
        <x:v>5</x:v>
      </x:c>
      <x:c r="E9" s="31" t="n">
        <x:v>1</x:v>
      </x:c>
      <x:c r="F9" s="31" t="n">
        <x:v>28</x:v>
      </x:c>
      <x:c r="G9" s="7"/>
      <x:c r="H9" s="7"/>
      <x:c r="I9" s="7" t="str">
        <x:v>款式订单台账</x:v>
      </x:c>
      <x:c r="J9" s="7" t="str">
        <x:v>鼠标垫推广跟进表格-2025.08.16.xlsx / 新款鼠标垫出单跟进 行6</x:v>
      </x:c>
    </x:row>
    <x:row r="10" ht="30" customHeight="1">
      <x:c r="A10" s="33" t="n">
        <x:v>46243</x:v>
      </x:c>
      <x:c r="B10" s="31"/>
      <x:c r="C10" s="31"/>
      <x:c r="D10" s="31" t="n">
        <x:v>1</x:v>
      </x:c>
      <x:c r="E10" s="31" t="n">
        <x:v>0</x:v>
      </x:c>
      <x:c r="F10" s="31" t="n">
        <x:v>36</x:v>
      </x:c>
      <x:c r="G10" s="7"/>
      <x:c r="H10" s="7"/>
      <x:c r="I10" s="7" t="str">
        <x:v>款式订单台账</x:v>
      </x:c>
      <x:c r="J10" s="7" t="str">
        <x:v>鼠标垫推广跟进表格-2025.08.16.xlsx / 新款鼠标垫出单跟进 行7</x:v>
      </x:c>
    </x:row>
    <x:row r="11" ht="30" customHeight="1">
      <x:c r="A11" s="33" t="n">
        <x:v>46244</x:v>
      </x:c>
      <x:c r="B11" s="31" t="n">
        <x:v>1</x:v>
      </x:c>
      <x:c r="C11" s="31"/>
      <x:c r="D11" s="31" t="n">
        <x:v>1</x:v>
      </x:c>
      <x:c r="E11" s="31" t="n">
        <x:v>0</x:v>
      </x:c>
      <x:c r="F11" s="31" t="n">
        <x:v>28</x:v>
      </x:c>
      <x:c r="G11" s="7"/>
      <x:c r="H11" s="7"/>
      <x:c r="I11" s="7" t="str">
        <x:v>款式订单台账</x:v>
      </x:c>
      <x:c r="J11" s="7" t="str">
        <x:v>鼠标垫推广跟进表格-2025.08.16.xlsx / 新款鼠标垫出单跟进 行8</x:v>
      </x:c>
    </x:row>
    <x:row r="12" ht="30" customHeight="1">
      <x:c r="A12" s="33" t="n">
        <x:v>46245</x:v>
      </x:c>
      <x:c r="B12" s="31" t="n">
        <x:v>2</x:v>
      </x:c>
      <x:c r="C12" s="31" t="n">
        <x:v>2</x:v>
      </x:c>
      <x:c r="D12" s="31" t="n">
        <x:v>3</x:v>
      </x:c>
      <x:c r="E12" s="31" t="n">
        <x:v>2</x:v>
      </x:c>
      <x:c r="F12" s="31" t="n">
        <x:v>60</x:v>
      </x:c>
      <x:c r="G12" s="7"/>
      <x:c r="H12" s="7" t="str">
        <x:v>调整长尾词组竞价</x:v>
      </x:c>
      <x:c r="I12" s="7" t="str">
        <x:v>款式订单台账</x:v>
      </x:c>
      <x:c r="J12" s="7" t="str">
        <x:v>鼠标垫推广跟进表格-2025.08.16.xlsx / 新款鼠标垫出单跟进 行9</x:v>
      </x:c>
    </x:row>
    <x:row r="13" ht="40" customHeight="1">
      <x:c r="A13" s="33" t="n">
        <x:v>46246</x:v>
      </x:c>
      <x:c r="B13" s="31" t="n">
        <x:v>1</x:v>
      </x:c>
      <x:c r="C13" s="31"/>
      <x:c r="D13" s="31" t="n">
        <x:v>2</x:v>
      </x:c>
      <x:c r="E13" s="31" t="n">
        <x:v>0</x:v>
      </x:c>
      <x:c r="F13" s="31" t="n">
        <x:v>66</x:v>
      </x:c>
      <x:c r="G13" s="7"/>
      <x:c r="H13" s="7"/>
      <x:c r="I13" s="7" t="str">
        <x:v>款式订单台账</x:v>
      </x:c>
      <x:c r="J13" s="7" t="str">
        <x:v>鼠标垫推广跟进表格-2025.08.16.xlsx / 新款鼠标垫出单跟进 行10</x:v>
      </x:c>
    </x:row>
    <x:row r="14" ht="40" customHeight="1">
      <x:c r="A14" s="33" t="n">
        <x:v>46247</x:v>
      </x:c>
      <x:c r="B14" s="31"/>
      <x:c r="C14" s="31"/>
      <x:c r="D14" s="31" t="n">
        <x:v>1</x:v>
      </x:c>
      <x:c r="E14" s="31" t="n">
        <x:v>0</x:v>
      </x:c>
      <x:c r="F14" s="31" t="n">
        <x:v>84</x:v>
      </x:c>
      <x:c r="G14" s="7"/>
      <x:c r="H14" s="7"/>
      <x:c r="I14" s="7" t="str">
        <x:v>款式订单台账</x:v>
      </x:c>
      <x:c r="J14" s="7" t="str">
        <x:v>鼠标垫推广跟进表格-2025.08.16.xlsx / 新款鼠标垫出单跟进 行11</x:v>
      </x:c>
    </x:row>
    <x:row r="15" ht="40" customHeight="1">
      <x:c r="A15" s="33" t="n">
        <x:v>46248</x:v>
      </x:c>
      <x:c r="B15" s="31" t="n">
        <x:v>1</x:v>
      </x:c>
      <x:c r="C15" s="31"/>
      <x:c r="D15" s="31" t="n">
        <x:v>4</x:v>
      </x:c>
      <x:c r="E15" s="31" t="n">
        <x:v>0</x:v>
      </x:c>
      <x:c r="F15" s="31" t="n">
        <x:v>135</x:v>
      </x:c>
      <x:c r="G15" s="7"/>
      <x:c r="H15" s="7"/>
      <x:c r="I15" s="7" t="str">
        <x:v>款式订单台账</x:v>
      </x:c>
      <x:c r="J15" s="7" t="str">
        <x:v>鼠标垫推广跟进表格-2025.08.16.xlsx / 新款鼠标垫出单跟进 行12</x:v>
      </x:c>
    </x:row>
    <x:row r="16" ht="40" customHeight="1">
      <x:c r="A16" s="33" t="n">
        <x:v>46249</x:v>
      </x:c>
      <x:c r="B16" s="31" t="n">
        <x:v>2</x:v>
      </x:c>
      <x:c r="C16" s="31"/>
      <x:c r="D16" s="31" t="n">
        <x:v>6</x:v>
      </x:c>
      <x:c r="E16" s="31" t="n">
        <x:v>0</x:v>
      </x:c>
      <x:c r="F16" s="31" t="n">
        <x:v>152</x:v>
      </x:c>
      <x:c r="G16" s="7"/>
      <x:c r="H16" s="7"/>
      <x:c r="I16" s="7" t="str">
        <x:v>款式订单台账</x:v>
      </x:c>
      <x:c r="J16" s="7" t="str">
        <x:v>鼠标垫推广跟进表格-2025.08.16.xlsx / 新款鼠标垫出单跟进 行13</x:v>
      </x:c>
    </x:row>
    <x:row r="17" ht="40" customHeight="1">
      <x:c r="A17" s="33" t="n">
        <x:v>46250</x:v>
      </x:c>
      <x:c r="B17" s="31" t="n">
        <x:v>2</x:v>
      </x:c>
      <x:c r="C17" s="31"/>
      <x:c r="D17" s="31" t="n">
        <x:v>9</x:v>
      </x:c>
      <x:c r="E17" s="31" t="n">
        <x:v>0</x:v>
      </x:c>
      <x:c r="F17" s="31" t="n">
        <x:v>146</x:v>
      </x:c>
      <x:c r="G17" s="7"/>
      <x:c r="H17" s="7"/>
      <x:c r="I17" s="7" t="str">
        <x:v>款式订单台账</x:v>
      </x:c>
      <x:c r="J17" s="7" t="str">
        <x:v>鼠标垫推广跟进表格-2025.08.16.xlsx / 新款鼠标垫出单跟进 行14</x:v>
      </x:c>
    </x:row>
    <x:row r="18" ht="40" customHeight="1">
      <x:c r="A18" s="33" t="n">
        <x:v>46251</x:v>
      </x:c>
      <x:c r="B18" s="31" t="n">
        <x:v>1</x:v>
      </x:c>
      <x:c r="C18" s="31"/>
      <x:c r="D18" s="31" t="n">
        <x:v>6</x:v>
      </x:c>
      <x:c r="E18" s="31" t="n">
        <x:v>0</x:v>
      </x:c>
      <x:c r="F18" s="31" t="n">
        <x:v>142</x:v>
      </x:c>
      <x:c r="G18" s="7"/>
      <x:c r="H18" s="7"/>
      <x:c r="I18" s="7" t="str">
        <x:v>款式订单台账</x:v>
      </x:c>
      <x:c r="J18" s="7" t="str">
        <x:v>鼠标垫推广跟进表格-2025.08.16.xlsx / 新款鼠标垫出单跟进 行15</x:v>
      </x:c>
    </x:row>
    <x:row r="19" ht="40" customHeight="1">
      <x:c r="A19" s="33" t="n">
        <x:v>46252</x:v>
      </x:c>
      <x:c r="B19" s="31" t="n">
        <x:v>3</x:v>
      </x:c>
      <x:c r="C19" s="31"/>
      <x:c r="D19" s="31" t="n">
        <x:v>8</x:v>
      </x:c>
      <x:c r="E19" s="31" t="n">
        <x:v>0</x:v>
      </x:c>
      <x:c r="F19" s="31" t="n">
        <x:v>155</x:v>
      </x:c>
      <x:c r="G19" s="7" t="str">
        <x:v>测款库存不足/全部涨价17.99-18.99</x:v>
      </x:c>
      <x:c r="H19" s="7"/>
      <x:c r="I19" s="7" t="str">
        <x:v>款式订单台账</x:v>
      </x:c>
      <x:c r="J19" s="7" t="str">
        <x:v>鼠标垫推广跟进表格-2025.08.16.xlsx / 新款鼠标垫出单跟进 行16</x:v>
      </x:c>
    </x:row>
    <x:row r="20" ht="40" customHeight="1">
      <x:c r="A20" s="33" t="n">
        <x:v>46253</x:v>
      </x:c>
      <x:c r="B20" s="31" t="n">
        <x:v>3</x:v>
      </x:c>
      <x:c r="C20" s="31"/>
      <x:c r="D20" s="31" t="n">
        <x:v>8</x:v>
      </x:c>
      <x:c r="E20" s="31" t="n">
        <x:v>0</x:v>
      </x:c>
      <x:c r="F20" s="31" t="n">
        <x:v>152</x:v>
      </x:c>
      <x:c r="G20" s="7"/>
      <x:c r="H20" s="7"/>
      <x:c r="I20" s="7" t="str">
        <x:v>款式订单台账</x:v>
      </x:c>
      <x:c r="J20" s="7" t="str">
        <x:v>鼠标垫推广跟进表格-2025.08.16.xlsx / 新款鼠标垫出单跟进 行17</x:v>
      </x:c>
    </x:row>
    <x:row r="21" ht="40" customHeight="1">
      <x:c r="A21" s="33" t="n">
        <x:v>46254</x:v>
      </x:c>
      <x:c r="B21" s="31" t="n">
        <x:v>2</x:v>
      </x:c>
      <x:c r="C21" s="31"/>
      <x:c r="D21" s="31" t="n">
        <x:v>6</x:v>
      </x:c>
      <x:c r="E21" s="31" t="n">
        <x:v>0</x:v>
      </x:c>
      <x:c r="F21" s="31" t="n">
        <x:v>128</x:v>
      </x:c>
      <x:c r="G21" s="7"/>
      <x:c r="H21" s="7"/>
      <x:c r="I21" s="7" t="str">
        <x:v>款式订单台账</x:v>
      </x:c>
      <x:c r="J21" s="7" t="str">
        <x:v>鼠标垫推广跟进表格-2025.08.16.xlsx / 新款鼠标垫出单跟进 行18</x:v>
      </x:c>
    </x:row>
    <x:row r="22" ht="40" customHeight="1">
      <x:c r="A22" s="33" t="n">
        <x:v>46255</x:v>
      </x:c>
      <x:c r="B22" s="31" t="n">
        <x:v>2</x:v>
      </x:c>
      <x:c r="C22" s="31"/>
      <x:c r="D22" s="31" t="n">
        <x:v>8</x:v>
      </x:c>
      <x:c r="E22" s="31" t="n">
        <x:v>0</x:v>
      </x:c>
      <x:c r="F22" s="31" t="n">
        <x:v>107</x:v>
      </x:c>
      <x:c r="G22" s="7" t="str">
        <x:v>海浪汽车断货</x:v>
      </x:c>
      <x:c r="H22" s="7"/>
      <x:c r="I22" s="7" t="str">
        <x:v>款式订单台账</x:v>
      </x:c>
      <x:c r="J22" s="7" t="str">
        <x:v>鼠标垫推广跟进表格-2025.08.16.xlsx / 新款鼠标垫出单跟进 行19</x:v>
      </x:c>
    </x:row>
    <x:row r="23" ht="40" customHeight="1">
      <x:c r="A23" s="33" t="n">
        <x:v>46256</x:v>
      </x:c>
      <x:c r="B23" s="31"/>
      <x:c r="C23" s="31"/>
      <x:c r="D23" s="31" t="n">
        <x:v>7</x:v>
      </x:c>
      <x:c r="E23" s="31" t="n">
        <x:v>0</x:v>
      </x:c>
      <x:c r="F23" s="31" t="n">
        <x:v>143</x:v>
      </x:c>
      <x:c r="G23" s="7"/>
      <x:c r="H23" s="7"/>
      <x:c r="I23" s="7" t="str">
        <x:v>款式订单台账</x:v>
      </x:c>
      <x:c r="J23" s="7" t="str">
        <x:v>鼠标垫推广跟进表格-2025.08.16.xlsx / 新款鼠标垫出单跟进 行20</x:v>
      </x:c>
    </x:row>
    <x:row r="24" ht="40" customHeight="1">
      <x:c r="A24" s="33" t="n">
        <x:v>46257</x:v>
      </x:c>
      <x:c r="B24" s="31" t="n">
        <x:v>1</x:v>
      </x:c>
      <x:c r="C24" s="31"/>
      <x:c r="D24" s="31" t="n">
        <x:v>5</x:v>
      </x:c>
      <x:c r="E24" s="31" t="n">
        <x:v>0</x:v>
      </x:c>
      <x:c r="F24" s="31" t="n">
        <x:v>142</x:v>
      </x:c>
      <x:c r="G24" s="7"/>
      <x:c r="H24" s="7"/>
      <x:c r="I24" s="7" t="str">
        <x:v>款式订单台账</x:v>
      </x:c>
      <x:c r="J24" s="7" t="str">
        <x:v>鼠标垫推广跟进表格-2025.08.16.xlsx / 新款鼠标垫出单跟进 行21</x:v>
      </x:c>
    </x:row>
    <x:row r="25" ht="40" customHeight="1">
      <x:c r="A25" s="33" t="n">
        <x:v>46258</x:v>
      </x:c>
      <x:c r="B25" s="31" t="n">
        <x:v>2</x:v>
      </x:c>
      <x:c r="C25" s="31"/>
      <x:c r="D25" s="31" t="n">
        <x:v>6</x:v>
      </x:c>
      <x:c r="E25" s="31" t="n">
        <x:v>0</x:v>
      </x:c>
      <x:c r="F25" s="31" t="n">
        <x:v>98</x:v>
      </x:c>
      <x:c r="G25" s="7" t="str">
        <x:v>库存深度不够，缩减广告</x:v>
      </x:c>
      <x:c r="H25" s="7" t="str">
        <x:v>自动组调整竞价模式为down only/
26鼠标垫-M-游戏类-2026.08.07暂停/26鼠标垫-尺寸词-2026.08.07暂停</x:v>
      </x:c>
      <x:c r="I25" s="7" t="str">
        <x:v>款式订单台账</x:v>
      </x:c>
      <x:c r="J25" s="7" t="str">
        <x:v>鼠标垫推广跟进表格-2025.08.16.xlsx / 新款鼠标垫出单跟进 行22</x:v>
      </x:c>
    </x:row>
    <x:row r="26" ht="40" customHeight="1">
      <x:c r="A26" s="33" t="n">
        <x:v>46259</x:v>
      </x:c>
      <x:c r="B26" s="31" t="n">
        <x:v>4</x:v>
      </x:c>
      <x:c r="C26" s="31" t="n">
        <x:v>1</x:v>
      </x:c>
      <x:c r="D26" s="31" t="n">
        <x:v>7</x:v>
      </x:c>
      <x:c r="E26" s="31" t="n">
        <x:v>1</x:v>
      </x:c>
      <x:c r="F26" s="31" t="n">
        <x:v>94</x:v>
      </x:c>
      <x:c r="G26" s="7" t="str">
        <x:v>黑猫星空断货/1单留评单</x:v>
      </x:c>
      <x:c r="H26" s="7"/>
      <x:c r="I26" s="7" t="str">
        <x:v>款式订单台账</x:v>
      </x:c>
      <x:c r="J26" s="7" t="str">
        <x:v>鼠标垫推广跟进表格-2025.08.16.xlsx / 新款鼠标垫出单跟进 行23</x:v>
      </x:c>
    </x:row>
    <x:row r="27" ht="40" customHeight="1">
      <x:c r="A27" s="33" t="n">
        <x:v>46260</x:v>
      </x:c>
      <x:c r="B27" s="31" t="n">
        <x:v>4</x:v>
      </x:c>
      <x:c r="C27" s="31"/>
      <x:c r="D27" s="31" t="n">
        <x:v>9</x:v>
      </x:c>
      <x:c r="E27" s="31" t="n">
        <x:v>0</x:v>
      </x:c>
      <x:c r="F27" s="31" t="n">
        <x:v>95</x:v>
      </x:c>
      <x:c r="G27" s="7"/>
      <x:c r="H27" s="7"/>
      <x:c r="I27" s="7" t="str">
        <x:v>款式订单台账</x:v>
      </x:c>
      <x:c r="J27" s="7" t="str">
        <x:v>鼠标垫推广跟进表格-2025.08.16.xlsx / 新款鼠标垫出单跟进 行24</x:v>
      </x:c>
    </x:row>
    <x:row r="28" ht="40" customHeight="1">
      <x:c r="A28" s="33" t="n">
        <x:v>46261</x:v>
      </x:c>
      <x:c r="B28" s="31" t="n">
        <x:v>2</x:v>
      </x:c>
      <x:c r="C28" s="31"/>
      <x:c r="D28" s="31" t="n">
        <x:v>4</x:v>
      </x:c>
      <x:c r="E28" s="31" t="n">
        <x:v>0</x:v>
      </x:c>
      <x:c r="F28" s="31" t="n">
        <x:v>111</x:v>
      </x:c>
      <x:c r="G28" s="7" t="str">
        <x:v>新增带图绿标/同步其他站点视频评论</x:v>
      </x:c>
      <x:c r="H28" s="7"/>
      <x:c r="I28" s="7" t="str">
        <x:v>款式订单台账</x:v>
      </x:c>
      <x:c r="J28" s="7" t="str">
        <x:v>鼠标垫推广跟进表格-2025.08.16.xlsx / 新款鼠标垫出单跟进 行25</x:v>
      </x:c>
    </x:row>
    <x:row r="29" ht="40" customHeight="1">
      <x:c r="A29" s="33" t="n">
        <x:v>46262</x:v>
      </x:c>
      <x:c r="B29" s="31" t="n">
        <x:v>7</x:v>
      </x:c>
      <x:c r="C29" s="31"/>
      <x:c r="D29" s="31" t="n">
        <x:v>9</x:v>
      </x:c>
      <x:c r="E29" s="31" t="n">
        <x:v>0</x:v>
      </x:c>
      <x:c r="F29" s="31" t="n">
        <x:v>116</x:v>
      </x:c>
      <x:c r="G29" s="7" t="str">
        <x:v>5%coupon到期</x:v>
      </x:c>
      <x:c r="H29" s="7"/>
      <x:c r="I29" s="7" t="str">
        <x:v>款式订单台账</x:v>
      </x:c>
      <x:c r="J29" s="7" t="str">
        <x:v>鼠标垫推广跟进表格-2025.08.16.xlsx / 新款鼠标垫出单跟进 行26</x:v>
      </x:c>
    </x:row>
    <x:row r="30" ht="40" customHeight="1">
      <x:c r="A30" s="33" t="n">
        <x:v>46263</x:v>
      </x:c>
      <x:c r="B30" s="31" t="n">
        <x:v>3</x:v>
      </x:c>
      <x:c r="C30" s="31"/>
      <x:c r="D30" s="31" t="n">
        <x:v>5</x:v>
      </x:c>
      <x:c r="E30" s="31" t="n">
        <x:v>0</x:v>
      </x:c>
      <x:c r="F30" s="31" t="n">
        <x:v>116</x:v>
      </x:c>
      <x:c r="G30" s="7"/>
      <x:c r="H30" s="7"/>
      <x:c r="I30" s="7" t="str">
        <x:v>款式订单台账</x:v>
      </x:c>
      <x:c r="J30" s="7" t="str">
        <x:v>鼠标垫推广跟进表格-2025.08.16.xlsx / 新款鼠标垫出单跟进 行27</x:v>
      </x:c>
    </x:row>
    <x:row r="31" ht="40" customHeight="1">
      <x:c r="A31" s="33" t="n">
        <x:v>46264</x:v>
      </x:c>
      <x:c r="B31" s="31" t="n">
        <x:v>3</x:v>
      </x:c>
      <x:c r="C31" s="31"/>
      <x:c r="D31" s="31" t="n">
        <x:v>7</x:v>
      </x:c>
      <x:c r="E31" s="31" t="n">
        <x:v>0</x:v>
      </x:c>
      <x:c r="F31" s="31" t="n">
        <x:v>134</x:v>
      </x:c>
      <x:c r="G31" s="7" t="str">
        <x:v>紫月亭台断货</x:v>
      </x:c>
      <x:c r="H31" s="7"/>
      <x:c r="I31" s="7" t="str">
        <x:v>款式订单台账</x:v>
      </x:c>
      <x:c r="J31" s="7" t="str">
        <x:v>鼠标垫推广跟进表格-2025.08.16.xlsx / 新款鼠标垫出单跟进 行28</x:v>
      </x:c>
    </x:row>
    <x:row r="32" ht="40" customHeight="1">
      <x:c r="A32" s="33" t="n">
        <x:v>46265</x:v>
      </x:c>
      <x:c r="B32" s="31" t="n">
        <x:v>6</x:v>
      </x:c>
      <x:c r="C32" s="31"/>
      <x:c r="D32" s="31" t="n">
        <x:v>7</x:v>
      </x:c>
      <x:c r="E32" s="31" t="n">
        <x:v>0</x:v>
      </x:c>
      <x:c r="F32" s="31" t="n">
        <x:v>94</x:v>
      </x:c>
      <x:c r="G32" s="7" t="str">
        <x:v>5%coupon恢复</x:v>
      </x:c>
      <x:c r="H32" s="7"/>
      <x:c r="I32" s="7" t="str">
        <x:v>款式订单台账</x:v>
      </x:c>
      <x:c r="J32" s="7" t="str">
        <x:v>鼠标垫推广跟进表格-2025.08.16.xlsx / 新款鼠标垫出单跟进 行29</x:v>
      </x:c>
    </x:row>
    <x:row r="33" ht="40" customHeight="1">
      <x:c r="A33" s="33" t="n">
        <x:v>46266</x:v>
      </x:c>
      <x:c r="B33" s="31" t="n">
        <x:v>4</x:v>
      </x:c>
      <x:c r="C33" s="31"/>
      <x:c r="D33" s="31" t="n">
        <x:v>7</x:v>
      </x:c>
      <x:c r="E33" s="31" t="n">
        <x:v>0</x:v>
      </x:c>
      <x:c r="F33" s="31" t="n">
        <x:v>86</x:v>
      </x:c>
      <x:c r="G33" s="7"/>
      <x:c r="H33" s="7" t="str">
        <x:v>26鼠标垫-M-核心词--词组-2026.09.01关闭旧核心词组，重新开词组组</x:v>
      </x:c>
      <x:c r="I33" s="7" t="str">
        <x:v>款式订单台账</x:v>
      </x:c>
      <x:c r="J33" s="7" t="str">
        <x:v>鼠标垫推广跟进表格-2025.08.16.xlsx / 新款鼠标垫出单跟进 行30</x:v>
      </x:c>
    </x:row>
    <x:row r="34" ht="40" customHeight="1">
      <x:c r="A34" s="33" t="n">
        <x:v>46267</x:v>
      </x:c>
      <x:c r="B34" s="31" t="n">
        <x:v>4</x:v>
      </x:c>
      <x:c r="C34" s="31"/>
      <x:c r="D34" s="31" t="n">
        <x:v>6</x:v>
      </x:c>
      <x:c r="E34" s="31" t="n">
        <x:v>0</x:v>
      </x:c>
      <x:c r="F34" s="31"/>
      <x:c r="G34" s="7" t="str">
        <x:v>月下武士断货</x:v>
      </x:c>
      <x:c r="H34" s="7"/>
      <x:c r="I34" s="7" t="str">
        <x:v>款式订单台账</x:v>
      </x:c>
      <x:c r="J34" s="7" t="str">
        <x:v>鼠标垫推广跟进表格-2025.08.16.xlsx / 新款鼠标垫出单跟进 行31</x:v>
      </x:c>
    </x:row>
    <x:row r="35" ht="40" customHeight="1">
      <x:c r="A35" s="33" t="n">
        <x:v>46268</x:v>
      </x:c>
      <x:c r="B35" s="31"/>
      <x:c r="C35" s="31"/>
      <x:c r="D35" s="31"/>
      <x:c r="E35" s="31"/>
      <x:c r="F35" s="31"/>
      <x:c r="G35" s="7"/>
      <x:c r="H35" s="7" t="str">
        <x:v>关闭26鼠标垫手动组，仅保留自动组</x:v>
      </x:c>
      <x:c r="I35" s="7" t="str">
        <x:v>事件或模板，不能认定销量</x:v>
      </x:c>
      <x:c r="J35" s="7" t="str">
        <x:v>鼠标垫推广跟进表格-2025.08.16.xlsx / 新款鼠标垫出单跟进 行32</x:v>
      </x:c>
    </x:row>
    <x:row r="38" ht="34" customHeight="1">
      <x:c r="A38" s="35" t="str">
        <x:v>历史汇总</x:v>
      </x:c>
      <x:c r="B38" s="35" t="str">
        <x:v>记录合计</x:v>
      </x:c>
      <x:c r="C38" s="35" t="str">
        <x:v>口径</x:v>
      </x:c>
    </x:row>
    <x:row r="39" ht="34" customHeight="1">
      <x:c r="A39" s="35" t="str">
        <x:v>月下武士栏订单</x:v>
      </x:c>
      <x:c r="B39" s="37" t="n">
        <x:f>SUM(B6:B35)</x:f>
        <x:v>66</x:v>
      </x:c>
      <x:c r="C39" s="35" t="str">
        <x:v>不是单ASIN已核验订单</x:v>
      </x:c>
    </x:row>
    <x:row r="40" ht="34" customHeight="1">
      <x:c r="A40" s="35" t="str">
        <x:v>全款式总订单</x:v>
      </x:c>
      <x:c r="B40" s="37" t="n">
        <x:f>SUM(D6:D35)</x:f>
        <x:v>151</x:v>
      </x:c>
      <x:c r="C40" s="35" t="str">
        <x:v>含人工干预订单</x:v>
      </x:c>
    </x:row>
    <x:row r="41" ht="34" customHeight="1">
      <x:c r="A41" s="35" t="str">
        <x:v>人工干预记录</x:v>
      </x:c>
      <x:c r="B41" s="37" t="n">
        <x:f>SUM(C6:C35)</x:f>
        <x:v>7</x:v>
      </x:c>
      <x:c r="C41" s="35" t="str">
        <x:v>不能相减推断自然单</x:v>
      </x:c>
    </x:row>
    <x:row r="42" ht="34" customHeight="1">
      <x:c r="A42" s="35" t="str">
        <x:v>记录流量全款式</x:v>
      </x:c>
      <x:c r="B42" s="37" t="n">
        <x:f>SUM(F6:F35)</x:f>
        <x:v>2668</x:v>
      </x:c>
      <x:c r="C42" s="35" t="str">
        <x:v>26天有数，09-02缺流量</x:v>
      </x:c>
    </x:row>
    <x:row r="45" ht="52" customHeight="1">
      <x:c r="A45" s="35" t="str">
        <x:v>旧小护托日期</x:v>
      </x:c>
      <x:c r="B45" s="35" t="str">
        <x:v>旧竞价前值</x:v>
      </x:c>
      <x:c r="C45" s="35" t="str">
        <x:v>旧竞价后值</x:v>
      </x:c>
      <x:c r="D45" s="35" t="str">
        <x:v>口径</x:v>
      </x:c>
      <x:c r="E45" s="35" t="str">
        <x:v>来源</x:v>
      </x:c>
    </x:row>
    <x:row r="46" ht="52" customHeight="1">
      <x:c r="A46" s="42" t="n">
        <x:v>45916</x:v>
      </x:c>
      <x:c r="B46" s="43" t="n">
        <x:v>0.32</x:v>
      </x:c>
      <x:c r="C46" s="43" t="n">
        <x:v>0.38</x:v>
      </x:c>
      <x:c r="D46" s="35" t="str">
        <x:v>币种未写，本轮不沿用</x:v>
      </x:c>
      <x:c r="E46" s="35" t="str">
        <x:v>推广跟进表 / 出单跟进 行36</x:v>
      </x:c>
    </x:row>
  </x:sheetData>
  <x:pageMargins left="0.7" right="0.7" top="0.75" bottom="0.75" header="0.3" footer="0.3"/>
  <x:tableParts count="1">
    <x:tablePart xmlns:r="http://schemas.openxmlformats.org/officeDocument/2006/relationships" r:id="Rc6e9a441f56a4df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66" hidden="0" customWidth="1"/>
    <x:col min="3" max="3" width="45" hidden="0" customWidth="1"/>
    <x:col min="4" max="4" width="49" hidden="0" customWidth="1"/>
    <x:col min="5" max="5" width="36" hidden="0" customWidth="1"/>
    <x:col min="6" max="6" width="21" hidden="0" customWidth="1"/>
    <x:col min="7" max="7" width="59" hidden="0" customWidth="1"/>
    <x:col min="8" max="8" width="39" hidden="0" customWidth="1"/>
    <x:col min="9" max="9" width="20" hidden="0" customWidth="1"/>
    <x:col min="10" max="10" width="66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7" customHeight="1">
      <x:c r="A2" s="3" t="str">
        <x:v>来源核对与第二轮商品候选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0" customHeight="1">
      <x:c r="A3" s="5" t="str">
        <x:v>900 × 400 × 3 mm    ASIN B0H5HKNFDM    DE / EUR    2026-10-04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0" customHeight="1">
      <x:c r="A4" s="5" t="str">
        <x:v>竞品为2025历史候选。当前价、库存、规格未核验，商品定向未启用。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 ht="42" customHeight="1">
      <x:c r="A5" s="10" t="str">
        <x:v>来源文件</x:v>
      </x:c>
      <x:c r="B5" s="10" t="str">
        <x:v>工作表</x:v>
      </x:c>
      <x:c r="C5" s="10" t="str">
        <x:v>期间或标签</x:v>
      </x:c>
      <x:c r="D5" s="10" t="str">
        <x:v>可用范围与限制</x:v>
      </x:c>
      <x:c r="E5" s="10" t="str">
        <x:v>非空行</x:v>
      </x:c>
      <x:c r="F5" s="10" t="str">
        <x:v>最大行</x:v>
      </x:c>
      <x:c r="G5" s="10" t="str">
        <x:v>最大列</x:v>
      </x:c>
    </x:row>
    <x:row r="6" ht="30" customHeight="1">
      <x:c r="A6" s="7" t="str">
        <x:v>鼠标垫关键词.xlsx</x:v>
      </x:c>
      <x:c r="B6" s="7" t="str">
        <x:v>Sheet1</x:v>
      </x:c>
      <x:c r="C6" s="7" t="str">
        <x:v>2025-11-09～11-15，73项逐词同值匹配推定</x:v>
      </x:c>
      <x:c r="D6" s="7" t="str">
        <x:v>历史ABA排名词语，同一来源不重复计数</x:v>
      </x:c>
      <x:c r="E6" s="31" t="n">
        <x:v>74</x:v>
      </x:c>
      <x:c r="F6" s="31" t="n">
        <x:v>74</x:v>
      </x:c>
      <x:c r="G6" s="31" t="n">
        <x:v>2</x:v>
      </x:c>
    </x:row>
    <x:row r="7" ht="30" customHeight="1">
      <x:c r="A7" s="7" t="str">
        <x:v>鼠标垫关键词.xlsx</x:v>
      </x:c>
      <x:c r="B7" s="7" t="str">
        <x:v>Sheet2</x:v>
      </x:c>
      <x:c r="C7" s="7" t="str">
        <x:v>未注明</x:v>
      </x:c>
      <x:c r="D7" s="7" t="str">
        <x:v>空表</x:v>
      </x:c>
      <x:c r="E7" s="31" t="n">
        <x:v>0</x:v>
      </x:c>
      <x:c r="F7" s="31" t="n">
        <x:v>1</x:v>
      </x:c>
      <x:c r="G7" s="31" t="n">
        <x:v>1</x:v>
      </x:c>
    </x:row>
    <x:row r="8" ht="30" customHeight="1">
      <x:c r="A8" s="7" t="str">
        <x:v>鼠标垫关键词.xlsx</x:v>
      </x:c>
      <x:c r="B8" s="7" t="str">
        <x:v>Sheet3</x:v>
      </x:c>
      <x:c r="C8" s="7" t="str">
        <x:v>未注明</x:v>
      </x:c>
      <x:c r="D8" s="7" t="str">
        <x:v>空表</x:v>
      </x:c>
      <x:c r="E8" s="31" t="n">
        <x:v>0</x:v>
      </x:c>
      <x:c r="F8" s="31" t="n">
        <x:v>1</x:v>
      </x:c>
      <x:c r="G8" s="31" t="n">
        <x:v>1</x:v>
      </x:c>
    </x:row>
    <x:row r="9" ht="54" customHeight="1">
      <x:c r="A9" s="7" t="str">
        <x:v>DE_Top_search_terms_Simple_Week_2025_11_15.xlsx</x:v>
      </x:c>
      <x:c r="B9" s="7" t="str">
        <x:v>DE_Top_search_terms_Simple_Week</x:v>
      </x:c>
      <x:c r="C9" s="7" t="str">
        <x:v>2025-11-09/2025-11-15</x:v>
      </x:c>
      <x:c r="D9" s="7" t="str">
        <x:v>历史ABA频率排名/前三点击商品及份额，不含搜索量/CPC</x:v>
      </x:c>
      <x:c r="E9" s="31" t="n">
        <x:v>75</x:v>
      </x:c>
      <x:c r="F9" s="31" t="n">
        <x:v>75</x:v>
      </x:c>
      <x:c r="G9" s="31" t="n">
        <x:v>21</x:v>
      </x:c>
    </x:row>
    <x:row r="10" ht="40" customHeight="1">
      <x:c r="A10" s="7" t="str">
        <x:v>鼠标垫推广跟进表格-2025.08.16.xlsx</x:v>
      </x:c>
      <x:c r="B10" s="7" t="str">
        <x:v>出单跟进</x:v>
      </x:c>
      <x:c r="C10" s="7" t="str">
        <x:v>2025-08-14～11-01，包含空模板尾部</x:v>
      </x:c>
      <x:c r="D10" s="7" t="str">
        <x:v>旧品管理参照，不迁移本品竞价/售价</x:v>
      </x:c>
      <x:c r="E10" s="31" t="n">
        <x:v>82</x:v>
      </x:c>
      <x:c r="F10" s="31" t="n">
        <x:v>82</x:v>
      </x:c>
      <x:c r="G10" s="31" t="n">
        <x:v>21</x:v>
      </x:c>
    </x:row>
    <x:row r="11" ht="40" customHeight="1">
      <x:c r="A11" s="7" t="str">
        <x:v>鼠标垫推广跟进表格-2025.08.16.xlsx</x:v>
      </x:c>
      <x:c r="B11" s="7" t="str">
        <x:v>关键词词库-小尺寸加护托</x:v>
      </x:c>
      <x:c r="C11" s="7" t="str">
        <x:v>未注明</x:v>
      </x:c>
      <x:c r="D11" s="7" t="str">
        <x:v>辅助核对；旧腕托词和其他款式不得套至本品；售后交易信息不进入广告</x:v>
      </x:c>
      <x:c r="E11" s="31" t="n">
        <x:v>83</x:v>
      </x:c>
      <x:c r="F11" s="31" t="n">
        <x:v>85</x:v>
      </x:c>
      <x:c r="G11" s="31" t="n">
        <x:v>6</x:v>
      </x:c>
    </x:row>
    <x:row r="12" ht="40" customHeight="1">
      <x:c r="A12" s="7" t="str">
        <x:v>鼠标垫推广跟进表格-2025.08.16.xlsx</x:v>
      </x:c>
      <x:c r="B12" s="7" t="str">
        <x:v>关键词词库-90 40</x:v>
      </x:c>
      <x:c r="C12" s="7" t="str">
        <x:v>未注明</x:v>
      </x:c>
      <x:c r="D12" s="7" t="str">
        <x:v>内部词语及有数的历史量记录；来源/日期/方法未核实</x:v>
      </x:c>
      <x:c r="E12" s="31" t="n">
        <x:v>210</x:v>
      </x:c>
      <x:c r="F12" s="31" t="n">
        <x:v>224</x:v>
      </x:c>
      <x:c r="G12" s="31" t="n">
        <x:v>4</x:v>
      </x:c>
    </x:row>
    <x:row r="13" ht="40" customHeight="1">
      <x:c r="A13" s="7" t="str">
        <x:v>鼠标垫推广跟进表格-2025.08.16.xlsx</x:v>
      </x:c>
      <x:c r="B13" s="7" t="str">
        <x:v>各个款式文案</x:v>
      </x:c>
      <x:c r="C13" s="7" t="str">
        <x:v>未注明</x:v>
      </x:c>
      <x:c r="D13" s="7" t="str">
        <x:v>辅助核对；旧腕托词和其他款式不得套至本品；售后交易信息不进入广告</x:v>
      </x:c>
      <x:c r="E13" s="31" t="n">
        <x:v>99</x:v>
      </x:c>
      <x:c r="F13" s="31" t="n">
        <x:v>160</x:v>
      </x:c>
      <x:c r="G13" s="31" t="n">
        <x:v>4</x:v>
      </x:c>
    </x:row>
    <x:row r="14" ht="40" customHeight="1">
      <x:c r="A14" s="7" t="str">
        <x:v>鼠标垫推广跟进表格-2025.08.16.xlsx</x:v>
      </x:c>
      <x:c r="B14" s="7" t="str">
        <x:v>产品信息</x:v>
      </x:c>
      <x:c r="C14" s="7" t="str">
        <x:v>未注明</x:v>
      </x:c>
      <x:c r="D14" s="7" t="str">
        <x:v>辅助核对；旧腕托词和其他款式不得套至本品；售后交易信息不进入广告</x:v>
      </x:c>
      <x:c r="E14" s="31" t="n">
        <x:v>13</x:v>
      </x:c>
      <x:c r="F14" s="31" t="n">
        <x:v>20</x:v>
      </x:c>
      <x:c r="G14" s="31" t="n">
        <x:v>6</x:v>
      </x:c>
    </x:row>
    <x:row r="15" ht="40" customHeight="1">
      <x:c r="A15" s="7" t="str">
        <x:v>鼠标垫推广跟进表格-2025.08.16.xlsx</x:v>
      </x:c>
      <x:c r="B15" s="7" t="str">
        <x:v>售后跟进</x:v>
      </x:c>
      <x:c r="C15" s="7" t="str">
        <x:v>未注明</x:v>
      </x:c>
      <x:c r="D15" s="7" t="str">
        <x:v>辅助核对；旧腕托词和其他款式不得套至本品；售后交易信息不进入广告</x:v>
      </x:c>
      <x:c r="E15" s="31" t="n">
        <x:v>2</x:v>
      </x:c>
      <x:c r="F15" s="31" t="n">
        <x:v>2</x:v>
      </x:c>
      <x:c r="G15" s="31" t="n">
        <x:v>6</x:v>
      </x:c>
    </x:row>
    <x:row r="16" ht="40" customHeight="1">
      <x:c r="A16" s="7" t="str">
        <x:v>鼠标垫推广跟进表格-2025.08.16.xlsx</x:v>
      </x:c>
      <x:c r="B16" s="7" t="str">
        <x:v>日ABA搜索热度跟进</x:v>
      </x:c>
      <x:c r="C16" s="7" t="str">
        <x:v>2025-09～12模板及2024同期对照</x:v>
      </x:c>
      <x:c r="D16" s="7" t="str">
        <x:v>旧期间ABA频率排名，不当搜索量</x:v>
      </x:c>
      <x:c r="E16" s="31" t="n">
        <x:v>124</x:v>
      </x:c>
      <x:c r="F16" s="31" t="n">
        <x:v>124</x:v>
      </x:c>
      <x:c r="G16" s="31" t="n">
        <x:v>4</x:v>
      </x:c>
    </x:row>
    <x:row r="17" ht="40" customHeight="1">
      <x:c r="A17" s="7" t="str">
        <x:v>鼠标垫推广跟进表格-2025.08.16.xlsx</x:v>
      </x:c>
      <x:c r="B17" s="7" t="str">
        <x:v>2026新款鼠标垫文案</x:v>
      </x:c>
      <x:c r="C17" s="7" t="str">
        <x:v>2026标签，无快照日期</x:v>
      </x:c>
      <x:c r="D17" s="7" t="str">
        <x:v>SKU/ASIN/尺寸映射；性能承诺待验证</x:v>
      </x:c>
      <x:c r="E17" s="31" t="n">
        <x:v>14</x:v>
      </x:c>
      <x:c r="F17" s="31" t="n">
        <x:v>17</x:v>
      </x:c>
      <x:c r="G17" s="31" t="n">
        <x:v>5</x:v>
      </x:c>
    </x:row>
    <x:row r="18" ht="40" customHeight="1">
      <x:c r="A18" s="7" t="str">
        <x:v>鼠标垫推广跟进表格-2025.08.16.xlsx</x:v>
      </x:c>
      <x:c r="B18" s="7" t="str">
        <x:v>新款鼠标垫出单跟进</x:v>
      </x:c>
      <x:c r="C18" s="7" t="str">
        <x:v>2026-08-05～09-03事件，填数销售08-07～09-02</x:v>
      </x:c>
      <x:c r="D18" s="7" t="str">
        <x:v>款式合计经营和事件；不当单ASIN/广告表现；未来模板行不纳入</x:v>
      </x:c>
      <x:c r="E18" s="31" t="n">
        <x:v>65</x:v>
      </x:c>
      <x:c r="F18" s="31" t="n">
        <x:v>65</x:v>
      </x:c>
      <x:c r="G18" s="31" t="n">
        <x:v>20</x:v>
      </x:c>
    </x:row>
    <x:row r="19" ht="40" customHeight="1">
      <x:c r="A19" s="7" t="str">
        <x:v>鼠标垫推广跟进表格-2025.08.16.xlsx</x:v>
      </x:c>
      <x:c r="B19" s="7" t="str">
        <x:v>2026.08.07梳理ST关键词</x:v>
      </x:c>
      <x:c r="C19" s="7" t="str">
        <x:v>表名标记2026-08-07，采集日期未核实</x:v>
      </x:c>
      <x:c r="D19" s="7" t="str">
        <x:v>候选关键词，全部排名/量未填写</x:v>
      </x:c>
      <x:c r="E19" s="31" t="n">
        <x:v>79</x:v>
      </x:c>
      <x:c r="F19" s="31" t="n">
        <x:v>80</x:v>
      </x:c>
      <x:c r="G19" s="31" t="n">
        <x:v>24</x:v>
      </x:c>
    </x:row>
    <x:row r="23" ht="42" customHeight="1">
      <x:c r="A23" s="10" t="str">
        <x:v>官方说明</x:v>
      </x:c>
      <x:c r="B23" s="10" t="str">
        <x:v>链接</x:v>
      </x:c>
    </x:row>
    <x:row r="24" ht="40" customHeight="1">
      <x:c r="A24" s="7" t="str">
        <x:v>SP匹配、搜索词与投放词</x:v>
      </x:c>
      <x:c r="B24" s="7" t="str">
        <x:v>https://advertising.amazon.com/library/guides/targeting-with-sponsored-products</x:v>
      </x:c>
    </x:row>
    <x:row r="25" ht="40" customHeight="1">
      <x:c r="A25" s="7" t="str">
        <x:v>动态竞价</x:v>
      </x:c>
      <x:c r="B25" s="7" t="str">
        <x:v>https://advertising.amazon.com/library/guides/dynamic-bidding-sponsored-products</x:v>
      </x:c>
    </x:row>
    <x:row r="26" ht="40" customHeight="1">
      <x:c r="A26" s="7" t="str">
        <x:v>ACoS与利润口径</x:v>
      </x:c>
      <x:c r="B26" s="7" t="str">
        <x:v>https://advertising.amazon.com/library/guides/acos-advertising-cost-of-sales</x:v>
      </x:c>
    </x:row>
    <x:row r="27" ht="30" customHeight="1">
      <x:c r="A27" s="7" t="str">
        <x:v>品牌广告适用资格</x:v>
      </x:c>
      <x:c r="B27" s="7" t="str">
        <x:v>https://advertising.amazon.com/solutions/products/sponsored-brands</x:v>
      </x:c>
    </x:row>
    <x:row r="28" ht="40" customHeight="1">
      <x:c r="A28" s="7" t="str">
        <x:v>平均日预算规则</x:v>
      </x:c>
      <x:c r="B28" s="7" t="str">
        <x:v>https://advertising.amazon.com/resources/whats-new/sponsored-ads-daily-budgeting-policy-and-options</x:v>
      </x:c>
    </x:row>
    <x:row r="29" ht="40" customHeight="1">
      <x:c r="A29" s="7" t="str">
        <x:v>归因帮助，公开读取受限，按账户报告核对</x:v>
      </x:c>
      <x:c r="B29" s="7" t="str">
        <x:v>https://advertising.amazon.com/help/GX7KDKHMWQYMJ385</x:v>
      </x:c>
    </x:row>
    <x:row r="33" ht="42" customHeight="1">
      <x:c r="A33" s="10" t="str">
        <x:v>竞品ASIN</x:v>
      </x:c>
      <x:c r="B33" s="10" t="str">
        <x:v>历史标题</x:v>
      </x:c>
      <x:c r="C33" s="10" t="str">
        <x:v>历史期间</x:v>
      </x:c>
      <x:c r="D33" s="10" t="str">
        <x:v>当前价EUR</x:v>
      </x:c>
      <x:c r="E33" s="10" t="str">
        <x:v>当前库存</x:v>
      </x:c>
      <x:c r="F33" s="10" t="str">
        <x:v>规格核验</x:v>
      </x:c>
      <x:c r="G33" s="10" t="str">
        <x:v>本品报价差EUR</x:v>
      </x:c>
      <x:c r="H33" s="10" t="str">
        <x:v>准备状态</x:v>
      </x:c>
      <x:c r="I33" s="10" t="str">
        <x:v>历史点击份额</x:v>
      </x:c>
      <x:c r="J33" s="10" t="str">
        <x:v>来源文件及行</x:v>
      </x:c>
    </x:row>
    <x:row r="34" ht="54" customHeight="1">
      <x:c r="A34" s="7" t="str">
        <x:v>B0F1MX7BBY</x:v>
      </x:c>
      <x:c r="B34" s="7" t="str">
        <x:v>Sevenpers Mousepad XXL, Japanische Kunst Mauspads,900x400mm Überdimensionales rutschfeste Gummimatten Gaming-Mauspads,Waschbares Mauspad für PC,Maus und Tastatur (Grau)</x:v>
      </x:c>
      <x:c r="C34" s="7" t="str">
        <x:v>2025-11-09/2025-11-15</x:v>
      </x:c>
      <x:c r="D34" s="14"/>
      <x:c r="E34" s="12"/>
      <x:c r="F34" s="12"/>
      <x:c r="G34" s="21" t="str">
        <x:f>IF(COUNT(D34,'参数与公式'!$B$6)&lt;2,"待输入",'参数与公式'!$B$6-D34)</x:f>
        <x:v>待输入</x:v>
      </x:c>
      <x:c r="H34" s="7" t="str">
        <x:f>IF(AND(ISNUMBER(D34),ISNUMBER('参数与公式'!$B$6),E34="有库存",F34="匹配900版"),"可评估，未投放","待核验，不投放")</x:f>
        <x:v>待核验，不投放</x:v>
      </x:c>
      <x:c r="I34" s="23" t="n">
        <x:v>0.056100000000000004</x:v>
      </x:c>
      <x:c r="J34" s="7" t="str">
        <x:v>DE_Top_search_terms_Simple_Week_2025_11_15.xlsx / DE_Top_search_terms_Simple_Week 行5</x:v>
      </x:c>
    </x:row>
    <x:row r="35" ht="54" customHeight="1">
      <x:c r="A35" s="7" t="str">
        <x:v>B0BWFDZZ31</x:v>
      </x:c>
      <x:c r="B35" s="7" t="str">
        <x:v>Owege Gaming Mauspad XXL 900 x 400 mm Artistic Curve Mousepad Groß Vernähte Kanten WassXerdicht Anti-Rutsch für PC, MacBook,Laptop Verbessert Präzision und GeschwindigkeiX</x:v>
      </x:c>
      <x:c r="C35" s="7" t="str">
        <x:v>2025-11-09/2025-11-15</x:v>
      </x:c>
      <x:c r="D35" s="14"/>
      <x:c r="E35" s="12"/>
      <x:c r="F35" s="12"/>
      <x:c r="G35" s="21" t="str">
        <x:f>IF(COUNT(D35,'参数与公式'!$B$6)&lt;2,"待输入",'参数与公式'!$B$6-D35)</x:f>
        <x:v>待输入</x:v>
      </x:c>
      <x:c r="H35" s="7" t="str">
        <x:f>IF(AND(ISNUMBER(D35),ISNUMBER('参数与公式'!$B$6),E35="有库存",F35="匹配900版"),"可评估，未投放","待核验，不投放")</x:f>
        <x:v>待核验，不投放</x:v>
      </x:c>
      <x:c r="I35" s="23" t="n">
        <x:v>0.0696</x:v>
      </x:c>
      <x:c r="J35" s="7" t="str">
        <x:v>DE_Top_search_terms_Simple_Week_2025_11_15.xlsx / DE_Top_search_terms_Simple_Week 行6</x:v>
      </x:c>
    </x:row>
    <x:row r="36" ht="54" customHeight="1">
      <x:c r="A36" s="7" t="str">
        <x:v>B084D8TF92</x:v>
      </x:c>
      <x:c r="B36" s="7" t="str">
        <x:v>TITANWOLF - DEUTSCHES LAYOUT - Titanwolf XXL Gaming Mauspad 900x400x3 mm - Schreibtischunterlage Gross - XXL Mousepad Gaming und Office - Weltkarte schwarz</x:v>
      </x:c>
      <x:c r="C36" s="7" t="str">
        <x:v>2025-11-09/2025-11-15</x:v>
      </x:c>
      <x:c r="D36" s="14"/>
      <x:c r="E36" s="12"/>
      <x:c r="F36" s="12"/>
      <x:c r="G36" s="21" t="str">
        <x:f>IF(COUNT(D36,'参数与公式'!$B$6)&lt;2,"待输入",'参数与公式'!$B$6-D36)</x:f>
        <x:v>待输入</x:v>
      </x:c>
      <x:c r="H36" s="7" t="str">
        <x:f>IF(AND(ISNUMBER(D36),ISNUMBER('参数与公式'!$B$6),E36="有库存",F36="匹配900版"),"可评估，未投放","待核验，不投放")</x:f>
        <x:v>待核验，不投放</x:v>
      </x:c>
      <x:c r="I36" s="23" t="n">
        <x:v>0.081</x:v>
      </x:c>
      <x:c r="J36" s="7" t="str">
        <x:v>DE_Top_search_terms_Simple_Week_2025_11_15.xlsx / DE_Top_search_terms_Simple_Week 行10</x:v>
      </x:c>
    </x:row>
    <x:row r="37" ht="54" customHeight="1">
      <x:c r="A37" s="7" t="str">
        <x:v>B07H37NQNQ</x:v>
      </x:c>
      <x:c r="B37" s="7" t="str">
        <x:v>TITANWOLF - XXL Speed Gaming Mauspad Titanwolf Schwarz 900 x 400mm - XXL Mousepad - Tischunterlage Large Size - verbessert Präzision und Geschwindigkeit</x:v>
      </x:c>
      <x:c r="C37" s="7" t="str">
        <x:v>2025-11-09/2025-11-15</x:v>
      </x:c>
      <x:c r="D37" s="14"/>
      <x:c r="E37" s="12"/>
      <x:c r="F37" s="12"/>
      <x:c r="G37" s="21" t="str">
        <x:f>IF(COUNT(D37,'参数与公式'!$B$6)&lt;2,"待输入",'参数与公式'!$B$6-D37)</x:f>
        <x:v>待输入</x:v>
      </x:c>
      <x:c r="H37" s="7" t="str">
        <x:f>IF(AND(ISNUMBER(D37),ISNUMBER('参数与公式'!$B$6),E37="有库存",F37="匹配900版"),"可评估，未投放","待核验，不投放")</x:f>
        <x:v>待核验，不投放</x:v>
      </x:c>
      <x:c r="I37" s="23" t="n">
        <x:v>0.08789999999999999</x:v>
      </x:c>
      <x:c r="J37" s="7" t="str">
        <x:v>DE_Top_search_terms_Simple_Week_2025_11_15.xlsx / DE_Top_search_terms_Simple_Week 行3</x:v>
      </x:c>
    </x:row>
  </x:sheetData>
  <x:dataValidations count="2">
    <x:dataValidation type="list" sqref="E34:E37">
      <x:formula1>"有库存,无库存,未核验"</x:formula1>
    </x:dataValidation>
    <x:dataValidation type="list" sqref="F34:F37">
      <x:formula1>"匹配900版,不匹配,未核验"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f927ee76027c4c5e"/>
    <x:tablePart xmlns:r="http://schemas.openxmlformats.org/officeDocument/2006/relationships" r:id="Rd27e00a4f161441b"/>
    <x:tablePart xmlns:r="http://schemas.openxmlformats.org/officeDocument/2006/relationships" r:id="R3f60943600434b50"/>
  </x:tableParts>
</x:worksheet>
</file>