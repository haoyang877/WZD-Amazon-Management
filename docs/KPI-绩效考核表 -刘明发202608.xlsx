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2026-08月KPI-SU&amp;KDS欧洲\"/>
    </mc:Choice>
  </mc:AlternateContent>
  <bookViews>
    <workbookView windowWidth="27945" windowHeight="13515"/>
  </bookViews>
  <sheets>
    <sheet name="Kaidishi-UK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<sst xmlns="http://schemas.openxmlformats.org/spreadsheetml/2006/main" count="64" uniqueCount="61">
  <si>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广西南宁万州达电子商务有限公司</t>
  </si>
  <si>
    <t>绩效计划/考核表</t>
  </si>
  <si>
    <r>
      <rPr>
        <sz val="10"/>
        <rFont val="微软雅黑"/>
        <charset val="134"/>
      </rPr>
      <t xml:space="preserve">考核类型：  </t>
    </r>
    <r>
      <rPr>
        <sz val="10"/>
        <color indexed="10"/>
        <rFont val="微软雅黑"/>
        <charset val="134"/>
      </rPr>
      <t xml:space="preserve"> </t>
    </r>
    <r>
      <rPr>
        <sz val="10"/>
        <rFont val="微软雅黑"/>
        <charset val="134"/>
      </rPr>
      <t xml:space="preserve">√月度     □季度    □年度                                                                    </t>
    </r>
  </si>
  <si>
    <t>姓名：</t>
  </si>
  <si>
    <t>刘明发</t>
  </si>
  <si>
    <t>职务：</t>
  </si>
  <si>
    <t>销售专员</t>
  </si>
  <si>
    <t xml:space="preserve">                                                     部门：销售部                              考核时段：20260801-20260831  上级姓名：周婷</t>
  </si>
  <si>
    <t>定量
考核</t>
  </si>
  <si>
    <t>权重</t>
  </si>
  <si>
    <t>绩效计划</t>
  </si>
  <si>
    <t>考核结果</t>
  </si>
  <si>
    <t>指标名称</t>
  </si>
  <si>
    <t>具体考核内容</t>
  </si>
  <si>
    <t>指标定义与评分规则</t>
  </si>
  <si>
    <t>分数区间</t>
  </si>
  <si>
    <t>考核得分</t>
  </si>
  <si>
    <t>考评说明</t>
  </si>
  <si>
    <t>硬
性
指
标</t>
  </si>
  <si>
    <t>基本销售额</t>
  </si>
  <si>
    <r>
      <rPr>
        <sz val="11"/>
        <rFont val="微软雅黑"/>
        <charset val="134"/>
      </rPr>
      <t>销售额要求：
Kai：</t>
    </r>
    <r>
      <rPr>
        <sz val="11"/>
        <rFont val="宋体"/>
        <charset val="134"/>
      </rPr>
      <t>£</t>
    </r>
    <r>
      <rPr>
        <sz val="11"/>
        <rFont val="微软雅黑"/>
        <charset val="134"/>
      </rPr>
      <t xml:space="preserve"> </t>
    </r>
    <r>
      <rPr>
        <b/>
        <sz val="11"/>
        <rFont val="微软雅黑"/>
        <charset val="134"/>
      </rPr>
      <t>40000</t>
    </r>
  </si>
  <si>
    <r>
      <rPr>
        <sz val="11"/>
        <rFont val="微软雅黑"/>
        <charset val="134"/>
      </rPr>
      <t>此项不占比分，按以下规则影响整体绩效得分：
a. 考核期内达到要求，  绩效总分系数为1；
b. 考核期内未达到要求，  绩效总分系数为0；</t>
    </r>
    <r>
      <rPr>
        <sz val="11"/>
        <color rgb="FFFF0000"/>
        <rFont val="微软雅黑"/>
        <charset val="134"/>
      </rPr>
      <t>即最终得分为0分；
补充说明：若考核期内负利润，则从下一个考核期的利润中扣除本期亏损部分</t>
    </r>
  </si>
  <si>
    <t>毛利率</t>
  </si>
  <si>
    <r>
      <rPr>
        <sz val="11"/>
        <rFont val="微软雅黑"/>
        <charset val="134"/>
      </rPr>
      <t xml:space="preserve">毛利率不低于
</t>
    </r>
    <r>
      <rPr>
        <b/>
        <sz val="11"/>
        <rFont val="微软雅黑"/>
        <charset val="134"/>
      </rPr>
      <t>13%</t>
    </r>
  </si>
  <si>
    <r>
      <rPr>
        <sz val="11"/>
        <rFont val="微软雅黑"/>
        <charset val="134"/>
      </rPr>
      <t xml:space="preserve">毛利率：（Total-成本-头程-广告-刷单亏损-秒杀费用）/Sales
此项不占比分，按以下规则影响整体绩效得分：
a. 毛利率≥13%  绩效总分系数为1；
b. 毛利率&lt;13%  </t>
    </r>
    <r>
      <rPr>
        <sz val="11"/>
        <color rgb="FFFF0000"/>
        <rFont val="微软雅黑"/>
        <charset val="134"/>
      </rPr>
      <t>每少一个百分点，总分扣5分，扣完为止；</t>
    </r>
    <r>
      <rPr>
        <sz val="11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>加分项：在满足a的基础上，毛利率每增加一个点，总分加2分</t>
    </r>
  </si>
  <si>
    <t>任务绩效</t>
  </si>
  <si>
    <t>（核心指标）
利润增长率</t>
  </si>
  <si>
    <t>考核期内完成利润
增长10%</t>
  </si>
  <si>
    <r>
      <rPr>
        <sz val="12"/>
        <rFont val="微软雅黑"/>
        <charset val="134"/>
      </rPr>
      <t xml:space="preserve">个人考核期内完成利润增长率（X=利润增长率，满分25分）
    a. X＜-10%，得0分；
    b. -10%≤X＜10%，得0-25分，区间线性得分；
</t>
    </r>
    <r>
      <rPr>
        <sz val="12"/>
        <color rgb="FFFF0000"/>
        <rFont val="微软雅黑"/>
        <charset val="134"/>
      </rPr>
      <t>加分项： X≥15%，加10分。PS. 若X≤-15%，则下个月无加分项。</t>
    </r>
  </si>
  <si>
    <t>Y=1.25X+12.5</t>
  </si>
  <si>
    <t>（核心指标）
销售额</t>
  </si>
  <si>
    <r>
      <rPr>
        <sz val="12"/>
        <rFont val="微软雅黑"/>
        <charset val="134"/>
      </rPr>
      <t>考核期内完成</t>
    </r>
    <r>
      <rPr>
        <b/>
        <sz val="12"/>
        <rFont val="微软雅黑"/>
        <charset val="134"/>
      </rPr>
      <t>日均</t>
    </r>
    <r>
      <rPr>
        <sz val="12"/>
        <rFont val="微软雅黑"/>
        <charset val="134"/>
      </rPr>
      <t>销售额
增长10%</t>
    </r>
  </si>
  <si>
    <r>
      <rPr>
        <sz val="12"/>
        <rFont val="微软雅黑"/>
        <charset val="134"/>
      </rPr>
      <t>个人考核期内完成</t>
    </r>
    <r>
      <rPr>
        <b/>
        <sz val="12"/>
        <rFont val="微软雅黑"/>
        <charset val="134"/>
      </rPr>
      <t>日均</t>
    </r>
    <r>
      <rPr>
        <sz val="12"/>
        <rFont val="微软雅黑"/>
        <charset val="134"/>
      </rPr>
      <t>销售额增长率（X=</t>
    </r>
    <r>
      <rPr>
        <b/>
        <sz val="12"/>
        <rFont val="微软雅黑"/>
        <charset val="134"/>
      </rPr>
      <t>日均</t>
    </r>
    <r>
      <rPr>
        <sz val="12"/>
        <rFont val="微软雅黑"/>
        <charset val="134"/>
      </rPr>
      <t xml:space="preserve">销售额增长率，满分15分）
    a. X＜0%，得0分；
    b. 0%≤X＜10%，得0-15分，区间线性得分；
</t>
    </r>
    <r>
      <rPr>
        <sz val="12"/>
        <color rgb="FFFF0000"/>
        <rFont val="微软雅黑"/>
        <charset val="134"/>
      </rPr>
      <t>加分项： X≥15%，加5分。PS. 若X≤-10%，则下个月无加分项。</t>
    </r>
  </si>
  <si>
    <t>Y=1.5X
business reports</t>
  </si>
  <si>
    <t>帐号管理及客服</t>
  </si>
  <si>
    <t>以店铺指标及客服质量考核</t>
  </si>
  <si>
    <r>
      <t xml:space="preserve">
1、关注广告。要求考核期内，广告占比≤</t>
    </r>
    <r>
      <rPr>
        <b/>
        <sz val="12"/>
        <rFont val="微软雅黑"/>
        <charset val="134"/>
      </rPr>
      <t>5.5%</t>
    </r>
    <r>
      <rPr>
        <sz val="12"/>
        <rFont val="微软雅黑"/>
        <charset val="134"/>
      </rPr>
      <t>，转化率CVR≥15%。此项5分；</t>
    </r>
    <r>
      <rPr>
        <sz val="12"/>
        <color rgb="FFFF0000"/>
        <rFont val="微软雅黑"/>
        <charset val="134"/>
      </rPr>
      <t xml:space="preserve">广告占比≤4.5%同时CVR≥16%，加3分；
</t>
    </r>
    <r>
      <rPr>
        <sz val="12"/>
        <rFont val="微软雅黑"/>
        <charset val="134"/>
      </rPr>
      <t xml:space="preserve">
2. 关注新SKU出单情况，满分20分；具体要求标准如下：
    a. 防尘罩大变体</t>
    </r>
    <r>
      <rPr>
        <sz val="12"/>
        <color rgb="FFFF0000"/>
        <rFont val="微软雅黑"/>
        <charset val="134"/>
      </rPr>
      <t>（含全黑 含灰）</t>
    </r>
    <r>
      <rPr>
        <sz val="12"/>
        <rFont val="微软雅黑"/>
        <charset val="134"/>
      </rPr>
      <t xml:space="preserve"> 日均单量≥</t>
    </r>
    <r>
      <rPr>
        <sz val="12"/>
        <color rgb="FFFF0000"/>
        <rFont val="微软雅黑"/>
        <charset val="134"/>
      </rPr>
      <t>58</t>
    </r>
    <r>
      <rPr>
        <sz val="12"/>
        <rFont val="微软雅黑"/>
        <charset val="134"/>
      </rPr>
      <t>单，此项4分；</t>
    </r>
    <r>
      <rPr>
        <sz val="12"/>
        <color rgb="FFFF0000"/>
        <rFont val="微软雅黑"/>
        <charset val="134"/>
      </rPr>
      <t xml:space="preserve">若≥75单，加2分。
    </t>
    </r>
    <r>
      <rPr>
        <sz val="12"/>
        <color theme="1"/>
        <rFont val="微软雅黑"/>
        <charset val="134"/>
      </rPr>
      <t>b. 有胶单向膜</t>
    </r>
    <r>
      <rPr>
        <b/>
        <sz val="12"/>
        <color theme="1"/>
        <rFont val="微软雅黑"/>
        <charset val="134"/>
      </rPr>
      <t>+</t>
    </r>
    <r>
      <rPr>
        <sz val="12"/>
        <color theme="1"/>
        <rFont val="微软雅黑"/>
        <charset val="134"/>
      </rPr>
      <t>9026+MGFD变体 日均单量≥</t>
    </r>
    <r>
      <rPr>
        <sz val="12"/>
        <color rgb="FFFF0000"/>
        <rFont val="微软雅黑"/>
        <charset val="134"/>
      </rPr>
      <t>10</t>
    </r>
    <r>
      <rPr>
        <sz val="12"/>
        <color theme="1"/>
        <rFont val="微软雅黑"/>
        <charset val="134"/>
      </rPr>
      <t>单，此项2分；</t>
    </r>
    <r>
      <rPr>
        <sz val="12"/>
        <color rgb="FFFF0000"/>
        <rFont val="微软雅黑"/>
        <charset val="134"/>
      </rPr>
      <t xml:space="preserve">若≥16单，加2分；
    </t>
    </r>
    <r>
      <rPr>
        <sz val="12"/>
        <color theme="1"/>
        <rFont val="微软雅黑"/>
        <charset val="134"/>
      </rPr>
      <t>c. 桌面垫变体 日均单量≥</t>
    </r>
    <r>
      <rPr>
        <sz val="12"/>
        <color rgb="FFFF0000"/>
        <rFont val="微软雅黑"/>
        <charset val="134"/>
      </rPr>
      <t>12</t>
    </r>
    <r>
      <rPr>
        <sz val="12"/>
        <color theme="1"/>
        <rFont val="微软雅黑"/>
        <charset val="134"/>
      </rPr>
      <t>单，此项3分；</t>
    </r>
    <r>
      <rPr>
        <sz val="12"/>
        <color rgb="FFFF0000"/>
        <rFont val="微软雅黑"/>
        <charset val="134"/>
      </rPr>
      <t xml:space="preserve">若≥16单，加2分。
    </t>
    </r>
    <r>
      <rPr>
        <sz val="12"/>
        <rFont val="微软雅黑"/>
        <charset val="134"/>
      </rPr>
      <t>d. 180防尘罩变体</t>
    </r>
    <r>
      <rPr>
        <sz val="12"/>
        <color rgb="FFFF0000"/>
        <rFont val="微软雅黑"/>
        <charset val="134"/>
      </rPr>
      <t>(含180黑 和 含180灰)</t>
    </r>
    <r>
      <rPr>
        <sz val="12"/>
        <rFont val="微软雅黑"/>
        <charset val="134"/>
      </rPr>
      <t xml:space="preserve"> 日均单量≥</t>
    </r>
    <r>
      <rPr>
        <sz val="12"/>
        <color rgb="FFFF0000"/>
        <rFont val="微软雅黑"/>
        <charset val="134"/>
      </rPr>
      <t>14</t>
    </r>
    <r>
      <rPr>
        <sz val="12"/>
        <rFont val="微软雅黑"/>
        <charset val="134"/>
      </rPr>
      <t>单，此项3分；</t>
    </r>
    <r>
      <rPr>
        <sz val="12"/>
        <color rgb="FFFF0000"/>
        <rFont val="微软雅黑"/>
        <charset val="134"/>
      </rPr>
      <t>若≥20单，加2分。</t>
    </r>
    <r>
      <rPr>
        <sz val="12"/>
        <rFont val="微软雅黑"/>
        <charset val="134"/>
      </rPr>
      <t xml:space="preserve">
    e. 衣服整理盒变体 日均单量≥</t>
    </r>
    <r>
      <rPr>
        <sz val="12"/>
        <color rgb="FFFF0000"/>
        <rFont val="微软雅黑"/>
        <charset val="134"/>
      </rPr>
      <t>10</t>
    </r>
    <r>
      <rPr>
        <sz val="12"/>
        <rFont val="微软雅黑"/>
        <charset val="134"/>
      </rPr>
      <t>单，此项3分；</t>
    </r>
    <r>
      <rPr>
        <sz val="12"/>
        <color rgb="FFFF0000"/>
        <rFont val="微软雅黑"/>
        <charset val="134"/>
      </rPr>
      <t xml:space="preserve">若≥14单，加2分。
    </t>
    </r>
    <r>
      <rPr>
        <sz val="12"/>
        <color theme="1"/>
        <rFont val="微软雅黑"/>
        <charset val="134"/>
      </rPr>
      <t>f.  狗尾巴草变体 日均单量≥</t>
    </r>
    <r>
      <rPr>
        <sz val="12"/>
        <color rgb="FFFF0000"/>
        <rFont val="微软雅黑"/>
        <charset val="134"/>
      </rPr>
      <t>6</t>
    </r>
    <r>
      <rPr>
        <sz val="12"/>
        <color theme="1"/>
        <rFont val="微软雅黑"/>
        <charset val="134"/>
      </rPr>
      <t>单，此项2分；</t>
    </r>
    <r>
      <rPr>
        <sz val="12"/>
        <color rgb="FFFF0000"/>
        <rFont val="微软雅黑"/>
        <charset val="134"/>
      </rPr>
      <t xml:space="preserve">若≥14单，加2分。
  </t>
    </r>
    <r>
      <rPr>
        <sz val="12"/>
        <color theme="1"/>
        <rFont val="微软雅黑"/>
        <charset val="134"/>
      </rPr>
      <t xml:space="preserve">  g. 无胶</t>
    </r>
    <r>
      <rPr>
        <b/>
        <sz val="12"/>
        <color theme="1"/>
        <rFont val="微软雅黑"/>
        <charset val="134"/>
      </rPr>
      <t>单向膜+万花筒</t>
    </r>
    <r>
      <rPr>
        <sz val="12"/>
        <color theme="1"/>
        <rFont val="微软雅黑"/>
        <charset val="134"/>
      </rPr>
      <t>变体 日均单量≥</t>
    </r>
    <r>
      <rPr>
        <sz val="12"/>
        <color rgb="FFFF0000"/>
        <rFont val="微软雅黑"/>
        <charset val="134"/>
      </rPr>
      <t>10</t>
    </r>
    <r>
      <rPr>
        <sz val="12"/>
        <color theme="1"/>
        <rFont val="微软雅黑"/>
        <charset val="134"/>
      </rPr>
      <t>单，此项3分；</t>
    </r>
    <r>
      <rPr>
        <sz val="12"/>
        <color rgb="FFFF0000"/>
        <rFont val="微软雅黑"/>
        <charset val="134"/>
      </rPr>
      <t xml:space="preserve">若≥15单，加2分。
  </t>
    </r>
    <r>
      <rPr>
        <sz val="12"/>
        <rFont val="微软雅黑"/>
        <charset val="134"/>
      </rPr>
      <t xml:space="preserve">
3、关注主推产品的Review和QA并及时处理，满分20分，具体标准如下：</t>
    </r>
    <r>
      <rPr>
        <sz val="12"/>
        <color rgb="FFFF0000"/>
        <rFont val="微软雅黑"/>
        <charset val="134"/>
      </rPr>
      <t>（不含绿标）</t>
    </r>
    <r>
      <rPr>
        <sz val="12"/>
        <rFont val="微软雅黑"/>
        <charset val="134"/>
      </rPr>
      <t xml:space="preserve">
    A. 防尘罩大变体</t>
    </r>
    <r>
      <rPr>
        <sz val="12"/>
        <color rgb="FFFF0000"/>
        <rFont val="微软雅黑"/>
        <charset val="134"/>
      </rPr>
      <t>（含全黑 含灰）</t>
    </r>
    <r>
      <rPr>
        <sz val="12"/>
        <rFont val="微软雅黑"/>
        <charset val="134"/>
      </rPr>
      <t xml:space="preserve"> 考核期内要求至少增加</t>
    </r>
    <r>
      <rPr>
        <sz val="12"/>
        <color rgb="FFFF0000"/>
        <rFont val="微软雅黑"/>
        <charset val="134"/>
      </rPr>
      <t>12</t>
    </r>
    <r>
      <rPr>
        <sz val="12"/>
        <rFont val="微软雅黑"/>
        <charset val="134"/>
      </rPr>
      <t>个好评review，</t>
    </r>
    <r>
      <rPr>
        <b/>
        <sz val="12"/>
        <rFont val="微软雅黑"/>
        <charset val="134"/>
      </rPr>
      <t>此项4分</t>
    </r>
    <r>
      <rPr>
        <sz val="12"/>
        <rFont val="微软雅黑"/>
        <charset val="134"/>
      </rPr>
      <t xml:space="preserve">； 
    B. </t>
    </r>
    <r>
      <rPr>
        <b/>
        <sz val="12"/>
        <rFont val="微软雅黑"/>
        <charset val="134"/>
      </rPr>
      <t>有胶单向膜</t>
    </r>
    <r>
      <rPr>
        <sz val="12"/>
        <rFont val="微软雅黑"/>
        <charset val="134"/>
      </rPr>
      <t>+9026+MGFD变体 考核期内要求至少增加</t>
    </r>
    <r>
      <rPr>
        <sz val="12"/>
        <color rgb="FFFF0000"/>
        <rFont val="微软雅黑"/>
        <charset val="134"/>
      </rPr>
      <t>2</t>
    </r>
    <r>
      <rPr>
        <sz val="12"/>
        <rFont val="微软雅黑"/>
        <charset val="134"/>
      </rPr>
      <t>个好评review，此项2分；
    C. 桌面垫变体 考核期内要求至少增加</t>
    </r>
    <r>
      <rPr>
        <sz val="12"/>
        <color rgb="FFFF0000"/>
        <rFont val="微软雅黑"/>
        <charset val="134"/>
      </rPr>
      <t>3</t>
    </r>
    <r>
      <rPr>
        <sz val="12"/>
        <rFont val="微软雅黑"/>
        <charset val="134"/>
      </rPr>
      <t>个好评review，此项3分；
    D. 180防尘罩</t>
    </r>
    <r>
      <rPr>
        <sz val="12"/>
        <color rgb="FFFF0000"/>
        <rFont val="微软雅黑"/>
        <charset val="134"/>
      </rPr>
      <t xml:space="preserve">(含180黑 和 含180灰) </t>
    </r>
    <r>
      <rPr>
        <sz val="12"/>
        <rFont val="微软雅黑"/>
        <charset val="134"/>
      </rPr>
      <t>考核期内要求至少增加</t>
    </r>
    <r>
      <rPr>
        <sz val="12"/>
        <color rgb="FFFF0000"/>
        <rFont val="微软雅黑"/>
        <charset val="134"/>
      </rPr>
      <t>3</t>
    </r>
    <r>
      <rPr>
        <sz val="12"/>
        <rFont val="微软雅黑"/>
        <charset val="134"/>
      </rPr>
      <t xml:space="preserve">个好评review，此项3分； </t>
    </r>
    <r>
      <rPr>
        <sz val="12"/>
        <color rgb="FF00B050"/>
        <rFont val="微软雅黑"/>
        <charset val="134"/>
      </rPr>
      <t xml:space="preserve"> </t>
    </r>
    <r>
      <rPr>
        <sz val="12"/>
        <color theme="1"/>
        <rFont val="微软雅黑"/>
        <charset val="134"/>
      </rPr>
      <t xml:space="preserve"> </t>
    </r>
    <r>
      <rPr>
        <sz val="12"/>
        <color rgb="FFFF0000"/>
        <rFont val="微软雅黑"/>
        <charset val="134"/>
      </rPr>
      <t xml:space="preserve">
    </t>
    </r>
    <r>
      <rPr>
        <sz val="12"/>
        <rFont val="微软雅黑"/>
        <charset val="134"/>
      </rPr>
      <t xml:space="preserve">E. </t>
    </r>
    <r>
      <rPr>
        <b/>
        <sz val="12"/>
        <rFont val="微软雅黑"/>
        <charset val="134"/>
      </rPr>
      <t>衣服整理盒变体</t>
    </r>
    <r>
      <rPr>
        <sz val="12"/>
        <rFont val="微软雅黑"/>
        <charset val="134"/>
      </rPr>
      <t xml:space="preserve"> 考核期内要求至少增加</t>
    </r>
    <r>
      <rPr>
        <sz val="12"/>
        <color rgb="FFFF0000"/>
        <rFont val="微软雅黑"/>
        <charset val="134"/>
      </rPr>
      <t>2</t>
    </r>
    <r>
      <rPr>
        <sz val="12"/>
        <rFont val="微软雅黑"/>
        <charset val="134"/>
      </rPr>
      <t xml:space="preserve">个好评review，此项3分；
    F.  </t>
    </r>
    <r>
      <rPr>
        <b/>
        <sz val="12"/>
        <rFont val="微软雅黑"/>
        <charset val="134"/>
      </rPr>
      <t xml:space="preserve">狗尾巴草变体 </t>
    </r>
    <r>
      <rPr>
        <sz val="12"/>
        <rFont val="微软雅黑"/>
        <charset val="134"/>
      </rPr>
      <t>考核期内要求至少增加</t>
    </r>
    <r>
      <rPr>
        <sz val="12"/>
        <color rgb="FFFF0000"/>
        <rFont val="微软雅黑"/>
        <charset val="134"/>
      </rPr>
      <t>2</t>
    </r>
    <r>
      <rPr>
        <sz val="12"/>
        <rFont val="微软雅黑"/>
        <charset val="134"/>
      </rPr>
      <t xml:space="preserve">个好评review，此项2分；
    G. </t>
    </r>
    <r>
      <rPr>
        <b/>
        <sz val="12"/>
        <rFont val="微软雅黑"/>
        <charset val="134"/>
      </rPr>
      <t>无胶单向膜+万花筒变体</t>
    </r>
    <r>
      <rPr>
        <sz val="12"/>
        <rFont val="微软雅黑"/>
        <charset val="134"/>
      </rPr>
      <t xml:space="preserve"> 考核期内要求至少增加</t>
    </r>
    <r>
      <rPr>
        <sz val="12"/>
        <color rgb="FFFF0000"/>
        <rFont val="微软雅黑"/>
        <charset val="134"/>
      </rPr>
      <t>3</t>
    </r>
    <r>
      <rPr>
        <sz val="12"/>
        <rFont val="微软雅黑"/>
        <charset val="134"/>
      </rPr>
      <t xml:space="preserve">个好评review，此项3分；
   </t>
    </r>
    <r>
      <rPr>
        <sz val="12"/>
        <color rgb="FFFF0000"/>
        <rFont val="微软雅黑"/>
        <charset val="134"/>
      </rPr>
      <t xml:space="preserve">
 </t>
    </r>
  </si>
  <si>
    <t>若考核期内拆分/重组变体，以月初变体结构为基准</t>
  </si>
  <si>
    <t>库存销售指标</t>
  </si>
  <si>
    <t>以店铺内大于90天库龄的量考核</t>
  </si>
  <si>
    <t>某批次某个SKU从入库之日起，90天之后若仍有未售出库存，则记为超90天库存。
X=本期超90天库存量，A=上期超90天库存量；Y=长期库存变化率=（A-X）/A；
每月1号要完成数据A的下载统计，汇总到上级存档，若未统计汇总，此项得0分。
长期库存变化率应满足以下标准：（满分10分）
    a. Y＜10%， 得0分
    b. 10%≤Y≤30%，得0-10分，区间线性得分；
加分项：Y≥50%，加5分</t>
  </si>
  <si>
    <t>Kaidishi英国部分</t>
  </si>
  <si>
    <t>得分=0.5Y-5</t>
  </si>
  <si>
    <t>素质与能力</t>
  </si>
  <si>
    <t>日常工作达成
及执行力</t>
  </si>
  <si>
    <t>快速反应、态度端正、确保上级安排的工作准确无误的执行且结果良好</t>
  </si>
  <si>
    <t>由直接上司依据实际执行力及各项工作表现，计划完成时间节点为考核标准打分</t>
  </si>
  <si>
    <t>负绩效</t>
  </si>
  <si>
    <t>考核期内过失、出错等负考核</t>
  </si>
  <si>
    <t>考核期内出现以下任一一项行为，按程度给予负激励：
    a. 失误操作发错货，每单-3分；
    b. 邮件回复超出平台要求，每次-3分；
    c. 周末及假期邮件回复MARK方式，每次-3分；
    d. 其它失误被上司认定情节需扣除绩效者，视情节扣2-5分；
绩效扣分不代替失误损失，如情节严重需要补偿公司损失者，可并行处理。</t>
  </si>
  <si>
    <t>综合评分：</t>
  </si>
  <si>
    <t>分数计算：</t>
  </si>
  <si>
    <t>由部门负责人依据考核期员工实际绩效结果打分</t>
  </si>
  <si>
    <t>最后得分：</t>
  </si>
  <si>
    <t>考核说明：</t>
  </si>
  <si>
    <t>1、当月提成=基本利润x5.5%x考核系数（考核系数=最后得分/100）；
2、每月30日前完成次月核心指标制订，3号完成审核、确认交由上级存档，未签订核心指标计划员工当月不享受提成奖金；
3、店铺由于个人运营原因被关闭，扣除当月全部提成；由于个人运营原因导致listing不可售且申诉不回来，扣除该产品剩余库存总成本的40%；</t>
  </si>
  <si>
    <t>计划
确认</t>
  </si>
  <si>
    <t xml:space="preserve">被考核人签字与日期：      </t>
  </si>
  <si>
    <t xml:space="preserve">部门负责人签字与日期：        </t>
  </si>
  <si>
    <t>人力资源部经理签字与日期：</t>
  </si>
  <si>
    <t>结果
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</si>
</sst>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_ \¥* #,##0_ ;_ \¥* \-#,##0_ ;_ \¥* &quot;-&quot;_ ;_ @_ "/>
    <numFmt numFmtId="178" formatCode="[$£-809]#,##0.00_);[Red]\([$£-809]#,##0.00\)"/>
  </numFmts>
  <fonts count="101">
    <font>
      <sz val="12"/>
      <name val="宋体"/>
      <charset val="134"/>
    </font>
    <font>
      <sz val="10"/>
      <name val="微软雅黑"/>
      <charset val="134"/>
    </font>
    <font>
      <sz val="12"/>
      <name val="微软雅黑"/>
      <charset val="134"/>
    </font>
    <font>
      <b/>
      <sz val="16"/>
      <name val="微软雅黑"/>
      <charset val="134"/>
    </font>
    <font>
      <sz val="11"/>
      <name val="微软雅黑"/>
      <charset val="134"/>
    </font>
    <font>
      <sz val="12"/>
      <color rgb="FFFF0000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微软雅黑"/>
      <charset val="134"/>
    </font>
    <font>
      <sz val="14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color theme="0"/>
      <name val="Tahoma"/>
      <charset val="134"/>
    </font>
    <font>
      <b/>
      <sz val="11"/>
      <color theme="1"/>
      <name val="宋体"/>
      <charset val="134"/>
      <scheme val="minor"/>
    </font>
    <font>
      <b/>
      <sz val="11"/>
      <color rgb="FF3F3F3F"/>
      <name val="Tahoma"/>
      <charset val="134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sz val="10"/>
      <name val="Arial"/>
      <charset val="134"/>
    </font>
    <font>
      <b/>
      <sz val="11"/>
      <color indexed="56"/>
      <name val="宋体"/>
      <charset val="134"/>
    </font>
    <font>
      <sz val="11"/>
      <color indexed="8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rgb="FFFA7D00"/>
      <name val="Tahoma"/>
      <charset val="134"/>
    </font>
    <font>
      <sz val="11"/>
      <color rgb="FFFA7D00"/>
      <name val="宋体"/>
      <charset val="134"/>
      <scheme val="minor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sz val="11"/>
      <color indexed="62"/>
      <name val="宋体"/>
      <charset val="134"/>
    </font>
    <font>
      <b/>
      <sz val="18"/>
      <color theme="3"/>
      <name val="宋体"/>
      <charset val="134"/>
      <scheme val="major"/>
    </font>
    <font>
      <b/>
      <sz val="13"/>
      <color theme="3"/>
      <name val="Tahoma"/>
      <charset val="134"/>
    </font>
    <font>
      <b/>
      <sz val="18"/>
      <color indexed="56"/>
      <name val="宋体"/>
      <charset val="134"/>
    </font>
    <font>
      <sz val="10"/>
      <name val="Helv"/>
      <charset val="134"/>
    </font>
    <font>
      <sz val="11"/>
      <color indexed="8"/>
      <name val="ＭＳ Ｐゴシック"/>
      <charset val="134"/>
    </font>
    <font>
      <b/>
      <sz val="11"/>
      <color rgb="FF3F3F3F"/>
      <name val="宋体"/>
      <charset val="134"/>
      <scheme val="minor"/>
    </font>
    <font>
      <b/>
      <sz val="11"/>
      <color theme="3"/>
      <name val="Tahoma"/>
      <charset val="134"/>
    </font>
    <font>
      <sz val="11"/>
      <color indexed="17"/>
      <name val="宋体"/>
      <charset val="134"/>
    </font>
    <font>
      <sz val="11"/>
      <color indexed="8"/>
      <name val="Calibri"/>
      <charset val="134"/>
    </font>
    <font>
      <sz val="11"/>
      <color rgb="FF9C6500"/>
      <name val="宋体"/>
      <charset val="134"/>
      <scheme val="minor"/>
    </font>
    <font>
      <sz val="11"/>
      <color rgb="FFFF0000"/>
      <name val="Tahoma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i/>
      <sz val="11"/>
      <color rgb="FF7F7F7F"/>
      <name val="宋体"/>
      <charset val="134"/>
      <scheme val="minor"/>
    </font>
    <font>
      <i/>
      <sz val="11"/>
      <color rgb="FF7F7F7F"/>
      <name val="Tahoma"/>
      <charset val="134"/>
    </font>
    <font>
      <b/>
      <sz val="15"/>
      <color theme="3"/>
      <name val="Tahoma"/>
      <charset val="134"/>
    </font>
    <font>
      <u/>
      <sz val="11"/>
      <color indexed="12"/>
      <name val="宋体"/>
      <charset val="134"/>
    </font>
    <font>
      <b/>
      <sz val="11"/>
      <color theme="1"/>
      <name val="Tahoma"/>
      <charset val="134"/>
    </font>
    <font>
      <b/>
      <sz val="11"/>
      <color indexed="8"/>
      <name val="宋体"/>
      <charset val="134"/>
    </font>
    <font>
      <sz val="12"/>
      <name val="Times New Roman"/>
      <charset val="134"/>
    </font>
    <font>
      <b/>
      <sz val="11"/>
      <color theme="0"/>
      <name val="Tahoma"/>
      <charset val="134"/>
    </font>
    <font>
      <sz val="11"/>
      <color rgb="FF9C0006"/>
      <name val="Tahoma"/>
      <charset val="134"/>
    </font>
    <font>
      <sz val="10"/>
      <name val="SimSun"/>
      <charset val="134"/>
    </font>
    <font>
      <sz val="11"/>
      <color rgb="FF3F3F76"/>
      <name val="Tahoma"/>
      <charset val="134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0"/>
      <name val="Verdana"/>
      <charset val="134"/>
    </font>
    <font>
      <b/>
      <sz val="11"/>
      <color rgb="FFFA7D00"/>
      <name val="Tahoma"/>
      <charset val="134"/>
    </font>
    <font>
      <b/>
      <sz val="11"/>
      <color rgb="FFFA7D00"/>
      <name val="宋体"/>
      <charset val="134"/>
      <scheme val="minor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sz val="11"/>
      <color rgb="FF006100"/>
      <name val="Tahoma"/>
      <charset val="134"/>
    </font>
    <font>
      <u/>
      <sz val="12"/>
      <color indexed="12"/>
      <name val="宋体"/>
      <charset val="134"/>
    </font>
    <font>
      <sz val="11"/>
      <color indexed="14"/>
      <name val="宋体"/>
      <charset val="134"/>
    </font>
    <font>
      <sz val="11"/>
      <color rgb="FF9C6500"/>
      <name val="Tahoma"/>
      <charset val="134"/>
    </font>
    <font>
      <sz val="11"/>
      <color indexed="8"/>
      <name val="Tahoma"/>
      <charset val="134"/>
    </font>
    <font>
      <b/>
      <sz val="11"/>
      <color theme="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"/>
      <name val="Bitstream Vera Sans"/>
      <charset val="134"/>
    </font>
    <font>
      <b/>
      <sz val="11"/>
      <color indexed="9"/>
      <name val="宋体"/>
      <charset val="134"/>
    </font>
    <font>
      <sz val="9"/>
      <name val="宋体"/>
      <charset val="134"/>
    </font>
    <font>
      <sz val="10"/>
      <name val="Geneva"/>
      <charset val="134"/>
    </font>
    <font>
      <sz val="11"/>
      <color rgb="FFFF0000"/>
      <name val="微软雅黑"/>
      <charset val="134"/>
    </font>
    <font>
      <b/>
      <sz val="11"/>
      <name val="微软雅黑"/>
      <charset val="134"/>
    </font>
    <font>
      <sz val="10"/>
      <color indexed="10"/>
      <name val="微软雅黑"/>
      <charset val="134"/>
    </font>
    <font>
      <sz val="11"/>
      <name val="宋体"/>
      <charset val="134"/>
    </font>
    <font>
      <b/>
      <sz val="12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rgb="FF00B050"/>
      <name val="微软雅黑"/>
      <charset val="134"/>
    </font>
  </fonts>
  <fills count="6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</fills>
  <borders count="6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88402966399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211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4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0" borderId="45" applyNumberFormat="0" applyFill="0" applyAlignment="0" applyProtection="0">
      <alignment vertical="center"/>
    </xf>
    <xf numFmtId="0" fontId="17" fillId="0" borderId="4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7" applyNumberFormat="0" applyAlignment="0" applyProtection="0">
      <alignment vertical="center"/>
    </xf>
    <xf numFmtId="0" fontId="19" fillId="6" borderId="48" applyNumberFormat="0" applyAlignment="0" applyProtection="0">
      <alignment vertical="center"/>
    </xf>
    <xf numFmtId="0" fontId="20" fillId="6" borderId="47" applyNumberFormat="0" applyAlignment="0" applyProtection="0">
      <alignment vertical="center"/>
    </xf>
    <xf numFmtId="0" fontId="21" fillId="7" borderId="49" applyNumberFormat="0" applyAlignment="0" applyProtection="0">
      <alignment vertical="center"/>
    </xf>
    <xf numFmtId="0" fontId="22" fillId="0" borderId="50" applyNumberFormat="0" applyFill="0" applyAlignment="0" applyProtection="0">
      <alignment vertical="center"/>
    </xf>
    <xf numFmtId="0" fontId="23" fillId="0" borderId="5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4" borderId="44" applyNumberFormat="0" applyFont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/>
    <xf numFmtId="0" fontId="33" fillId="0" borderId="51" applyNumberFormat="0" applyFill="0" applyAlignment="0" applyProtection="0">
      <alignment vertical="center"/>
    </xf>
    <xf numFmtId="0" fontId="34" fillId="6" borderId="48" applyNumberFormat="0" applyAlignment="0" applyProtection="0">
      <alignment vertical="center"/>
    </xf>
    <xf numFmtId="0" fontId="29" fillId="0" borderId="0">
      <alignment vertical="center"/>
    </xf>
    <xf numFmtId="0" fontId="9" fillId="29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6" fillId="0" borderId="52" applyNumberFormat="0" applyFill="0" applyAlignment="0" applyProtection="0">
      <alignment vertical="center"/>
    </xf>
    <xf numFmtId="0" fontId="35" fillId="0" borderId="53" applyNumberFormat="0" applyFill="0" applyAlignment="0" applyProtection="0">
      <alignment vertical="center"/>
    </xf>
    <xf numFmtId="0" fontId="36" fillId="43" borderId="0" applyProtection="0">
      <alignment vertical="center"/>
    </xf>
    <xf numFmtId="0" fontId="37" fillId="0" borderId="0"/>
    <xf numFmtId="0" fontId="31" fillId="4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9" fillId="0" borderId="0"/>
    <xf numFmtId="0" fontId="29" fillId="29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9" fillId="0" borderId="0"/>
    <xf numFmtId="0" fontId="9" fillId="47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48" borderId="54" applyNumberFormat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5" fillId="48" borderId="55" applyNumberFormat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15" fillId="0" borderId="56" applyNumberFormat="0" applyFill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46" fillId="0" borderId="50" applyNumberFormat="0" applyFill="0" applyAlignment="0" applyProtection="0">
      <alignment vertical="center"/>
    </xf>
    <xf numFmtId="0" fontId="31" fillId="0" borderId="0">
      <alignment vertical="center"/>
    </xf>
    <xf numFmtId="0" fontId="47" fillId="0" borderId="5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9" fillId="0" borderId="57" applyNumberFormat="0" applyFill="0" applyAlignment="0" applyProtection="0">
      <alignment vertical="center"/>
    </xf>
    <xf numFmtId="0" fontId="31" fillId="53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50" fillId="36" borderId="54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52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/>
    <xf numFmtId="0" fontId="31" fillId="55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6" fillId="6" borderId="48" applyNumberFormat="0" applyAlignment="0" applyProtection="0">
      <alignment vertical="center"/>
    </xf>
    <xf numFmtId="0" fontId="55" fillId="56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5" fillId="57" borderId="0" applyNumberFormat="0" applyBorder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57" fillId="0" borderId="59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42" fillId="60" borderId="0" applyNumberFormat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59" fillId="0" borderId="0" applyFill="0" applyProtection="0"/>
    <xf numFmtId="0" fontId="42" fillId="6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42" fillId="61" borderId="0" applyNumberFormat="0" applyBorder="0" applyAlignment="0" applyProtection="0">
      <alignment vertical="center"/>
    </xf>
    <xf numFmtId="0" fontId="37" fillId="0" borderId="0">
      <alignment vertical="center"/>
    </xf>
    <xf numFmtId="0" fontId="42" fillId="63" borderId="0" applyNumberFormat="0" applyBorder="0" applyAlignment="0" applyProtection="0">
      <alignment vertical="center"/>
    </xf>
    <xf numFmtId="0" fontId="42" fillId="64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62" fillId="0" borderId="60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2" fillId="65" borderId="0" applyNumberFormat="0" applyBorder="0" applyAlignment="0" applyProtection="0">
      <alignment vertical="center"/>
    </xf>
    <xf numFmtId="0" fontId="0" fillId="66" borderId="61" applyNumberFormat="0" applyFont="0" applyAlignment="0" applyProtection="0">
      <alignment vertical="center"/>
    </xf>
    <xf numFmtId="0" fontId="66" fillId="0" borderId="56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176" fontId="37" fillId="0" borderId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51" applyNumberFormat="0" applyFill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69" fillId="0" borderId="62" applyNumberFormat="0" applyFill="0" applyAlignment="0" applyProtection="0">
      <alignment vertical="center"/>
    </xf>
    <xf numFmtId="0" fontId="70" fillId="0" borderId="0" applyProtection="0"/>
    <xf numFmtId="0" fontId="71" fillId="7" borderId="49" applyNumberFormat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3" fillId="0" borderId="0"/>
    <xf numFmtId="0" fontId="74" fillId="5" borderId="47" applyNumberFormat="0" applyAlignment="0" applyProtection="0">
      <alignment vertical="center"/>
    </xf>
    <xf numFmtId="0" fontId="75" fillId="5" borderId="47" applyNumberFormat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17" fillId="0" borderId="59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77" fillId="0" borderId="0"/>
    <xf numFmtId="0" fontId="42" fillId="67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78" fillId="6" borderId="47" applyNumberFormat="0" applyAlignment="0" applyProtection="0">
      <alignment vertical="center"/>
    </xf>
    <xf numFmtId="0" fontId="79" fillId="6" borderId="47" applyNumberFormat="0" applyAlignment="0" applyProtection="0">
      <alignment vertical="center"/>
    </xf>
    <xf numFmtId="0" fontId="80" fillId="0" borderId="63" applyNumberFormat="0" applyFill="0" applyAlignment="0" applyProtection="0"/>
    <xf numFmtId="0" fontId="81" fillId="0" borderId="53" applyNumberFormat="0" applyFill="0" applyAlignment="0" applyProtection="0"/>
    <xf numFmtId="43" fontId="0" fillId="0" borderId="0" applyFont="0" applyFill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58" fillId="56" borderId="0" applyProtection="0">
      <alignment vertical="center"/>
    </xf>
    <xf numFmtId="43" fontId="37" fillId="0" borderId="0" applyFill="0" applyBorder="0" applyAlignment="0" applyProtection="0"/>
    <xf numFmtId="41" fontId="37" fillId="0" borderId="0" applyFill="0" applyBorder="0" applyAlignment="0" applyProtection="0"/>
    <xf numFmtId="177" fontId="37" fillId="0" borderId="0" applyFill="0" applyBorder="0" applyAlignment="0" applyProtection="0"/>
    <xf numFmtId="0" fontId="83" fillId="0" borderId="0" applyNumberFormat="0" applyFill="0" applyBorder="0" applyAlignment="0" applyProtection="0">
      <alignment vertical="center"/>
    </xf>
    <xf numFmtId="0" fontId="0" fillId="0" borderId="0"/>
    <xf numFmtId="9" fontId="37" fillId="0" borderId="0" applyFill="0" applyBorder="0" applyAlignment="0" applyProtection="0"/>
    <xf numFmtId="0" fontId="0" fillId="0" borderId="0">
      <alignment vertical="center"/>
    </xf>
    <xf numFmtId="0" fontId="84" fillId="43" borderId="0" applyNumberFormat="0" applyBorder="0" applyAlignment="0" applyProtection="0">
      <alignment vertical="center"/>
    </xf>
    <xf numFmtId="178" fontId="29" fillId="0" borderId="0">
      <alignment vertical="center"/>
    </xf>
    <xf numFmtId="0" fontId="85" fillId="10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0" fillId="0" borderId="0" applyProtection="0"/>
    <xf numFmtId="0" fontId="86" fillId="0" borderId="0">
      <alignment vertical="center"/>
    </xf>
    <xf numFmtId="0" fontId="0" fillId="0" borderId="0" applyProtection="0">
      <alignment vertical="center"/>
    </xf>
    <xf numFmtId="0" fontId="87" fillId="7" borderId="49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7" fillId="0" borderId="0" applyNumberFormat="0" applyFont="0" applyFill="0" applyBorder="0" applyAlignment="0" applyProtection="0"/>
    <xf numFmtId="0" fontId="89" fillId="0" borderId="0"/>
    <xf numFmtId="0" fontId="0" fillId="0" borderId="0">
      <alignment vertical="center"/>
    </xf>
    <xf numFmtId="0" fontId="90" fillId="68" borderId="64" applyNumberFormat="0" applyAlignment="0" applyProtection="0">
      <alignment vertical="center"/>
    </xf>
    <xf numFmtId="0" fontId="0" fillId="0" borderId="0"/>
    <xf numFmtId="0" fontId="91" fillId="0" borderId="0" applyProtection="0">
      <alignment vertical="center"/>
    </xf>
    <xf numFmtId="0" fontId="0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92" fillId="0" borderId="0"/>
  </cellStyleXfs>
  <cellXfs count="98">
    <xf numFmtId="0" fontId="0" fillId="0" borderId="0" xfId="0">
      <alignment vertical="center"/>
    </xf>
    <xf numFmtId="0" fontId="1" fillId="2" borderId="0" xfId="204" applyFont="1" applyFill="1" applyAlignment="1">
      <alignment vertical="center"/>
    </xf>
    <xf numFmtId="0" fontId="1" fillId="2" borderId="0" xfId="204" applyFont="1" applyFill="1" applyAlignment="1">
      <alignment horizontal="center" vertical="center"/>
    </xf>
    <xf numFmtId="0" fontId="2" fillId="2" borderId="0" xfId="204" applyFont="1" applyFill="1" applyAlignment="1">
      <alignment vertical="center"/>
    </xf>
    <xf numFmtId="0" fontId="2" fillId="2" borderId="0" xfId="204" applyFont="1" applyFill="1" applyAlignment="1">
      <alignment horizontal="left" vertical="center"/>
    </xf>
    <xf numFmtId="0" fontId="2" fillId="2" borderId="0" xfId="204" applyFont="1" applyFill="1" applyAlignment="1">
      <alignment horizontal="left" vertical="center" wrapText="1"/>
    </xf>
    <xf numFmtId="0" fontId="2" fillId="2" borderId="0" xfId="204" applyFont="1" applyFill="1" applyAlignment="1">
      <alignment horizontal="center" vertical="center"/>
    </xf>
    <xf numFmtId="0" fontId="2" fillId="2" borderId="0" xfId="204" applyFont="1" applyFill="1" applyAlignment="1">
      <alignment horizontal="center" vertical="center" wrapText="1"/>
    </xf>
    <xf numFmtId="0" fontId="3" fillId="2" borderId="0" xfId="204" applyFont="1" applyFill="1" applyBorder="1" applyAlignment="1">
      <alignment horizontal="center" vertical="center"/>
    </xf>
    <xf numFmtId="0" fontId="1" fillId="2" borderId="1" xfId="204" applyFont="1" applyFill="1" applyBorder="1" applyAlignment="1">
      <alignment horizontal="left" vertical="center"/>
    </xf>
    <xf numFmtId="0" fontId="1" fillId="2" borderId="2" xfId="204" applyFont="1" applyFill="1" applyBorder="1" applyAlignment="1">
      <alignment horizontal="left" vertical="center"/>
    </xf>
    <xf numFmtId="0" fontId="1" fillId="2" borderId="2" xfId="204" applyFont="1" applyFill="1" applyBorder="1" applyAlignment="1">
      <alignment horizontal="center" vertical="center"/>
    </xf>
    <xf numFmtId="0" fontId="1" fillId="2" borderId="3" xfId="204" applyFont="1" applyFill="1" applyBorder="1" applyAlignment="1">
      <alignment horizontal="left" vertical="center"/>
    </xf>
    <xf numFmtId="0" fontId="4" fillId="2" borderId="0" xfId="204" applyFont="1" applyFill="1" applyBorder="1" applyAlignment="1">
      <alignment horizontal="left" vertical="center"/>
    </xf>
    <xf numFmtId="0" fontId="4" fillId="2" borderId="0" xfId="204" applyFont="1" applyFill="1" applyBorder="1" applyAlignment="1">
      <alignment horizontal="right" vertical="center"/>
    </xf>
    <xf numFmtId="0" fontId="4" fillId="2" borderId="4" xfId="204" applyFont="1" applyFill="1" applyBorder="1" applyAlignment="1">
      <alignment horizontal="left" vertical="center"/>
    </xf>
    <xf numFmtId="0" fontId="4" fillId="2" borderId="4" xfId="204" applyFont="1" applyFill="1" applyBorder="1" applyAlignment="1">
      <alignment horizontal="center" vertical="center"/>
    </xf>
    <xf numFmtId="0" fontId="4" fillId="2" borderId="5" xfId="204" applyFont="1" applyFill="1" applyBorder="1" applyAlignment="1">
      <alignment horizontal="center" vertical="center" wrapText="1"/>
    </xf>
    <xf numFmtId="0" fontId="4" fillId="2" borderId="6" xfId="204" applyFont="1" applyFill="1" applyBorder="1" applyAlignment="1">
      <alignment horizontal="center" vertical="center"/>
    </xf>
    <xf numFmtId="0" fontId="4" fillId="2" borderId="5" xfId="204" applyFont="1" applyFill="1" applyBorder="1" applyAlignment="1">
      <alignment horizontal="center" vertical="center"/>
    </xf>
    <xf numFmtId="0" fontId="4" fillId="2" borderId="7" xfId="204" applyFont="1" applyFill="1" applyBorder="1" applyAlignment="1">
      <alignment horizontal="center" vertical="center"/>
    </xf>
    <xf numFmtId="0" fontId="4" fillId="2" borderId="8" xfId="204" applyFont="1" applyFill="1" applyBorder="1" applyAlignment="1">
      <alignment horizontal="center" vertical="center"/>
    </xf>
    <xf numFmtId="0" fontId="4" fillId="2" borderId="9" xfId="204" applyFont="1" applyFill="1" applyBorder="1" applyAlignment="1">
      <alignment horizontal="center" vertical="center" wrapText="1"/>
    </xf>
    <xf numFmtId="0" fontId="4" fillId="2" borderId="10" xfId="204" applyFont="1" applyFill="1" applyBorder="1" applyAlignment="1">
      <alignment horizontal="center" vertical="center"/>
    </xf>
    <xf numFmtId="0" fontId="4" fillId="2" borderId="11" xfId="204" applyFont="1" applyFill="1" applyBorder="1" applyAlignment="1">
      <alignment horizontal="center" vertical="center" wrapText="1"/>
    </xf>
    <xf numFmtId="0" fontId="4" fillId="2" borderId="12" xfId="204" applyFont="1" applyFill="1" applyBorder="1" applyAlignment="1">
      <alignment horizontal="center" vertical="center" wrapText="1"/>
    </xf>
    <xf numFmtId="0" fontId="4" fillId="2" borderId="13" xfId="204" applyFont="1" applyFill="1" applyBorder="1" applyAlignment="1">
      <alignment horizontal="center" vertical="center" wrapText="1"/>
    </xf>
    <xf numFmtId="0" fontId="4" fillId="2" borderId="14" xfId="204" applyFont="1" applyFill="1" applyBorder="1" applyAlignment="1">
      <alignment horizontal="center" vertical="center" wrapText="1"/>
    </xf>
    <xf numFmtId="0" fontId="4" fillId="2" borderId="3" xfId="204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vertical="center" wrapText="1"/>
    </xf>
    <xf numFmtId="0" fontId="1" fillId="3" borderId="3" xfId="204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2" borderId="15" xfId="204" applyFont="1" applyFill="1" applyBorder="1" applyAlignment="1">
      <alignment horizontal="center" vertical="center" wrapText="1"/>
    </xf>
    <xf numFmtId="0" fontId="4" fillId="2" borderId="16" xfId="204" applyFont="1" applyFill="1" applyBorder="1" applyAlignment="1">
      <alignment horizontal="center" vertical="center"/>
    </xf>
    <xf numFmtId="0" fontId="4" fillId="3" borderId="14" xfId="204" applyFont="1" applyFill="1" applyBorder="1" applyAlignment="1">
      <alignment horizontal="center" vertical="center" wrapText="1"/>
    </xf>
    <xf numFmtId="0" fontId="4" fillId="2" borderId="14" xfId="204" applyFont="1" applyFill="1" applyBorder="1" applyAlignment="1">
      <alignment horizontal="left" vertical="center" wrapText="1"/>
    </xf>
    <xf numFmtId="0" fontId="0" fillId="3" borderId="17" xfId="0" applyFill="1" applyBorder="1">
      <alignment vertical="center"/>
    </xf>
    <xf numFmtId="0" fontId="0" fillId="3" borderId="18" xfId="0" applyFill="1" applyBorder="1" applyAlignment="1">
      <alignment horizontal="center" vertical="center"/>
    </xf>
    <xf numFmtId="0" fontId="2" fillId="2" borderId="19" xfId="204" applyFont="1" applyFill="1" applyBorder="1" applyAlignment="1">
      <alignment horizontal="center" vertical="center" wrapText="1"/>
    </xf>
    <xf numFmtId="0" fontId="4" fillId="2" borderId="16" xfId="204" applyFont="1" applyFill="1" applyBorder="1" applyAlignment="1">
      <alignment horizontal="center" vertical="center" textRotation="255"/>
    </xf>
    <xf numFmtId="9" fontId="4" fillId="2" borderId="20" xfId="204" applyNumberFormat="1" applyFont="1" applyFill="1" applyBorder="1" applyAlignment="1">
      <alignment horizontal="center" vertical="center"/>
    </xf>
    <xf numFmtId="0" fontId="1" fillId="2" borderId="5" xfId="204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1" xfId="207" applyNumberFormat="1" applyFont="1" applyFill="1" applyBorder="1" applyAlignment="1">
      <alignment horizontal="left" vertical="center" wrapText="1"/>
    </xf>
    <xf numFmtId="0" fontId="1" fillId="0" borderId="22" xfId="204" applyFont="1" applyFill="1" applyBorder="1" applyAlignment="1">
      <alignment horizontal="center" vertical="center"/>
    </xf>
    <xf numFmtId="0" fontId="1" fillId="2" borderId="14" xfId="204" applyFont="1" applyFill="1" applyBorder="1" applyAlignment="1">
      <alignment horizontal="center" vertical="center" wrapText="1"/>
    </xf>
    <xf numFmtId="0" fontId="2" fillId="2" borderId="23" xfId="204" applyFont="1" applyFill="1" applyBorder="1" applyAlignment="1">
      <alignment horizontal="center" vertical="center" wrapText="1"/>
    </xf>
    <xf numFmtId="0" fontId="1" fillId="2" borderId="0" xfId="204" applyFont="1" applyFill="1" applyAlignment="1">
      <alignment horizontal="left" vertical="center"/>
    </xf>
    <xf numFmtId="9" fontId="4" fillId="2" borderId="19" xfId="204" applyNumberFormat="1" applyFont="1" applyFill="1" applyBorder="1" applyAlignment="1">
      <alignment horizontal="center" vertical="center"/>
    </xf>
    <xf numFmtId="0" fontId="1" fillId="2" borderId="0" xfId="204" applyFont="1" applyFill="1" applyAlignment="1">
      <alignment horizontal="left" vertical="center" wrapText="1"/>
    </xf>
    <xf numFmtId="0" fontId="1" fillId="2" borderId="24" xfId="190" applyFont="1" applyFill="1" applyBorder="1" applyAlignment="1">
      <alignment horizontal="center" vertical="center" wrapText="1"/>
    </xf>
    <xf numFmtId="0" fontId="1" fillId="2" borderId="14" xfId="208" applyFont="1" applyFill="1" applyBorder="1" applyAlignment="1">
      <alignment horizontal="center" vertical="center" wrapText="1"/>
    </xf>
    <xf numFmtId="0" fontId="2" fillId="2" borderId="14" xfId="192" applyFont="1" applyFill="1" applyBorder="1" applyAlignment="1">
      <alignment vertical="center" wrapText="1"/>
    </xf>
    <xf numFmtId="0" fontId="1" fillId="2" borderId="22" xfId="204" applyFont="1" applyFill="1" applyBorder="1" applyAlignment="1">
      <alignment horizontal="center" vertical="center"/>
    </xf>
    <xf numFmtId="0" fontId="1" fillId="2" borderId="14" xfId="206" applyFont="1" applyFill="1" applyBorder="1" applyAlignment="1">
      <alignment horizontal="center" vertical="center" wrapText="1"/>
    </xf>
    <xf numFmtId="0" fontId="6" fillId="2" borderId="25" xfId="204" applyFont="1" applyFill="1" applyBorder="1" applyAlignment="1">
      <alignment horizontal="left" vertical="center" wrapText="1"/>
    </xf>
    <xf numFmtId="0" fontId="1" fillId="2" borderId="0" xfId="204" applyFont="1" applyFill="1" applyAlignment="1">
      <alignment vertical="center" wrapText="1"/>
    </xf>
    <xf numFmtId="0" fontId="4" fillId="2" borderId="26" xfId="204" applyFont="1" applyFill="1" applyBorder="1" applyAlignment="1">
      <alignment horizontal="center" vertical="center" textRotation="255"/>
    </xf>
    <xf numFmtId="9" fontId="4" fillId="2" borderId="23" xfId="204" applyNumberFormat="1" applyFont="1" applyFill="1" applyBorder="1" applyAlignment="1">
      <alignment horizontal="center" vertical="center"/>
    </xf>
    <xf numFmtId="0" fontId="4" fillId="2" borderId="24" xfId="190" applyFont="1" applyFill="1" applyBorder="1" applyAlignment="1">
      <alignment horizontal="center" vertical="center" wrapText="1"/>
    </xf>
    <xf numFmtId="0" fontId="4" fillId="2" borderId="14" xfId="208" applyFont="1" applyFill="1" applyBorder="1" applyAlignment="1">
      <alignment horizontal="center" vertical="center" wrapText="1"/>
    </xf>
    <xf numFmtId="0" fontId="7" fillId="0" borderId="14" xfId="208" applyFont="1" applyFill="1" applyBorder="1" applyAlignment="1">
      <alignment horizontal="left" vertical="center" wrapText="1"/>
    </xf>
    <xf numFmtId="0" fontId="4" fillId="2" borderId="9" xfId="204" applyFont="1" applyFill="1" applyBorder="1" applyAlignment="1">
      <alignment horizontal="center" vertical="center" textRotation="255"/>
    </xf>
    <xf numFmtId="0" fontId="4" fillId="2" borderId="9" xfId="197" applyNumberFormat="1" applyFont="1" applyFill="1" applyBorder="1" applyAlignment="1">
      <alignment horizontal="center" vertical="center" wrapText="1"/>
    </xf>
    <xf numFmtId="0" fontId="4" fillId="2" borderId="14" xfId="208" applyNumberFormat="1" applyFont="1" applyFill="1" applyBorder="1" applyAlignment="1">
      <alignment horizontal="center" vertical="center" wrapText="1"/>
    </xf>
    <xf numFmtId="0" fontId="4" fillId="2" borderId="14" xfId="208" applyNumberFormat="1" applyFont="1" applyFill="1" applyBorder="1" applyAlignment="1">
      <alignment horizontal="left" vertical="center" wrapText="1"/>
    </xf>
    <xf numFmtId="0" fontId="1" fillId="2" borderId="25" xfId="204" applyFont="1" applyFill="1" applyBorder="1" applyAlignment="1">
      <alignment horizontal="left" vertical="center" wrapText="1"/>
    </xf>
    <xf numFmtId="0" fontId="4" fillId="2" borderId="27" xfId="197" applyNumberFormat="1" applyFont="1" applyFill="1" applyBorder="1" applyAlignment="1">
      <alignment horizontal="center" vertical="center" wrapText="1"/>
    </xf>
    <xf numFmtId="0" fontId="4" fillId="2" borderId="28" xfId="197" applyNumberFormat="1" applyFont="1" applyFill="1" applyBorder="1" applyAlignment="1">
      <alignment horizontal="center" vertical="center" wrapText="1"/>
    </xf>
    <xf numFmtId="0" fontId="4" fillId="2" borderId="29" xfId="197" applyNumberFormat="1" applyFont="1" applyFill="1" applyBorder="1" applyAlignment="1">
      <alignment horizontal="center" vertical="center" wrapText="1"/>
    </xf>
    <xf numFmtId="0" fontId="1" fillId="2" borderId="25" xfId="204" applyFont="1" applyFill="1" applyBorder="1" applyAlignment="1">
      <alignment horizontal="center" vertical="center"/>
    </xf>
    <xf numFmtId="0" fontId="1" fillId="2" borderId="25" xfId="204" applyFont="1" applyFill="1" applyBorder="1" applyAlignment="1">
      <alignment horizontal="center" vertical="center" wrapText="1"/>
    </xf>
    <xf numFmtId="0" fontId="1" fillId="2" borderId="9" xfId="204" applyFont="1" applyFill="1" applyBorder="1" applyAlignment="1">
      <alignment horizontal="center" vertical="center"/>
    </xf>
    <xf numFmtId="0" fontId="1" fillId="2" borderId="30" xfId="204" applyFont="1" applyFill="1" applyBorder="1" applyAlignment="1">
      <alignment horizontal="center" vertical="center"/>
    </xf>
    <xf numFmtId="0" fontId="1" fillId="2" borderId="31" xfId="204" applyFont="1" applyFill="1" applyBorder="1" applyAlignment="1">
      <alignment horizontal="center" vertical="center"/>
    </xf>
    <xf numFmtId="0" fontId="1" fillId="2" borderId="32" xfId="204" applyFont="1" applyFill="1" applyBorder="1" applyAlignment="1">
      <alignment horizontal="center" vertical="center"/>
    </xf>
    <xf numFmtId="0" fontId="1" fillId="2" borderId="33" xfId="204" applyFont="1" applyFill="1" applyBorder="1" applyAlignment="1">
      <alignment horizontal="center" vertical="center"/>
    </xf>
    <xf numFmtId="0" fontId="1" fillId="2" borderId="34" xfId="204" applyFont="1" applyFill="1" applyBorder="1" applyAlignment="1">
      <alignment horizontal="center" vertical="center"/>
    </xf>
    <xf numFmtId="0" fontId="1" fillId="2" borderId="35" xfId="204" applyFont="1" applyFill="1" applyBorder="1" applyAlignment="1">
      <alignment horizontal="center" vertical="center" wrapText="1"/>
    </xf>
    <xf numFmtId="0" fontId="1" fillId="2" borderId="20" xfId="204" applyFont="1" applyFill="1" applyBorder="1" applyAlignment="1">
      <alignment horizontal="center" vertical="center" wrapText="1"/>
    </xf>
    <xf numFmtId="0" fontId="1" fillId="2" borderId="36" xfId="204" applyFont="1" applyFill="1" applyBorder="1" applyAlignment="1">
      <alignment horizontal="center" vertical="center"/>
    </xf>
    <xf numFmtId="0" fontId="1" fillId="2" borderId="37" xfId="204" applyFont="1" applyFill="1" applyBorder="1" applyAlignment="1">
      <alignment horizontal="center" vertical="center"/>
    </xf>
    <xf numFmtId="0" fontId="1" fillId="2" borderId="38" xfId="204" applyFont="1" applyFill="1" applyBorder="1" applyAlignment="1">
      <alignment horizontal="center" vertical="center"/>
    </xf>
    <xf numFmtId="0" fontId="1" fillId="2" borderId="38" xfId="204" applyFont="1" applyFill="1" applyBorder="1" applyAlignment="1">
      <alignment horizontal="center" vertical="center" wrapText="1"/>
    </xf>
    <xf numFmtId="0" fontId="1" fillId="2" borderId="39" xfId="204" applyFont="1" applyFill="1" applyBorder="1" applyAlignment="1">
      <alignment horizontal="left" vertical="center" wrapText="1"/>
    </xf>
    <xf numFmtId="0" fontId="1" fillId="2" borderId="40" xfId="204" applyFont="1" applyFill="1" applyBorder="1" applyAlignment="1">
      <alignment horizontal="center" vertical="center"/>
    </xf>
    <xf numFmtId="0" fontId="1" fillId="2" borderId="41" xfId="204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vertical="center" wrapText="1"/>
    </xf>
    <xf numFmtId="0" fontId="4" fillId="2" borderId="14" xfId="0" applyFont="1" applyFill="1" applyBorder="1">
      <alignment vertical="center"/>
    </xf>
    <xf numFmtId="0" fontId="4" fillId="2" borderId="25" xfId="0" applyFont="1" applyFill="1" applyBorder="1">
      <alignment vertical="center"/>
    </xf>
    <xf numFmtId="0" fontId="1" fillId="2" borderId="42" xfId="204" applyFont="1" applyFill="1" applyBorder="1" applyAlignment="1">
      <alignment horizontal="center" vertical="center" wrapText="1"/>
    </xf>
    <xf numFmtId="0" fontId="1" fillId="2" borderId="43" xfId="204" applyFont="1" applyFill="1" applyBorder="1" applyAlignment="1">
      <alignment horizontal="center" vertical="center" wrapText="1"/>
    </xf>
    <xf numFmtId="0" fontId="1" fillId="2" borderId="43" xfId="204" applyFont="1" applyFill="1" applyBorder="1" applyAlignment="1">
      <alignment horizontal="left" vertical="center" wrapText="1"/>
    </xf>
    <xf numFmtId="0" fontId="1" fillId="2" borderId="43" xfId="204" applyFont="1" applyFill="1" applyBorder="1" applyAlignment="1">
      <alignment horizontal="center" vertical="center"/>
    </xf>
    <xf numFmtId="0" fontId="1" fillId="2" borderId="14" xfId="204" applyFont="1" applyFill="1" applyBorder="1" applyAlignment="1">
      <alignment horizontal="left" vertical="center"/>
    </xf>
    <xf numFmtId="0" fontId="1" fillId="2" borderId="14" xfId="204" applyFont="1" applyFill="1" applyBorder="1" applyAlignment="1">
      <alignment horizontal="center" vertical="center"/>
    </xf>
  </cellXfs>
  <cellStyles count="21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40% - 强调文字颜色 2 11 2 3" xfId="49"/>
    <cellStyle name="40% - 强调文字颜色 1 6 2" xfId="50"/>
    <cellStyle name="20% - 强调文字颜色 1 10 2 3" xfId="51"/>
    <cellStyle name="注释 3 5 3 3 4" xfId="52"/>
    <cellStyle name="强调文字颜色 2 3 2" xfId="53"/>
    <cellStyle name="20% - 强调文字颜色 6 2 12" xfId="54"/>
    <cellStyle name="40% - 强调文字颜色 4 32" xfId="55"/>
    <cellStyle name="40% - 强调文字颜色 4 27" xfId="56"/>
    <cellStyle name="60% - 强调文字颜色 5 28" xfId="57"/>
    <cellStyle name="20% - 强调文字颜色 3 31" xfId="58"/>
    <cellStyle name="20% - 强调文字颜色 3 26" xfId="59"/>
    <cellStyle name="常规 2 14 2 3" xfId="60"/>
    <cellStyle name="汇总 6" xfId="61"/>
    <cellStyle name="输出 30" xfId="62"/>
    <cellStyle name="常规 5 2 2 2 7 6" xfId="63"/>
    <cellStyle name="40% - 强调文字颜色 5 2 18 3 2" xfId="64"/>
    <cellStyle name="20% - 强调文字颜色 2 8 2 2 3 2" xfId="65"/>
    <cellStyle name="20% - 强调文字颜色 6 8 3 2" xfId="66"/>
    <cellStyle name="60% - 强调文字颜色 4 18 2" xfId="67"/>
    <cellStyle name="20% - 强调文字颜色 2 3 6" xfId="68"/>
    <cellStyle name="40% - 强调文字颜色 3 17 2" xfId="69"/>
    <cellStyle name="40% - 强调文字颜色 3 22 2" xfId="70"/>
    <cellStyle name="20% - 强调文字颜色 4 8 2 5" xfId="71"/>
    <cellStyle name="20% - 强调文字颜色 1 6 2 2" xfId="72"/>
    <cellStyle name="20% - 强调文字颜色 6 2 8 3" xfId="73"/>
    <cellStyle name="标题 2 2 21" xfId="74"/>
    <cellStyle name="标题 2 2 16" xfId="75"/>
    <cellStyle name="差_冯歆" xfId="76"/>
    <cellStyle name="Normal 2 7" xfId="77"/>
    <cellStyle name="40% - 强调文字颜色 1 2 13" xfId="78"/>
    <cellStyle name="标题 4 2 16" xfId="79"/>
    <cellStyle name="20% - 强调文字颜色 4 2 6 3" xfId="80"/>
    <cellStyle name="强调文字颜色 3 2 19" xfId="81"/>
    <cellStyle name="常规 10 2 2 3" xfId="82"/>
    <cellStyle name="40% - 强调文字颜色 5 8 3 2 3" xfId="83"/>
    <cellStyle name="60% - 强调文字颜色 3 13" xfId="84"/>
    <cellStyle name="60% - 强调文字颜色 2 3" xfId="85"/>
    <cellStyle name="40% - 强调文字颜色 1 8 3 2 2" xfId="86"/>
    <cellStyle name="60% - 强调文字颜色 4 11" xfId="87"/>
    <cellStyle name="强调文字颜色 1 2 3" xfId="88"/>
    <cellStyle name="Normal 4 2 4 4" xfId="89"/>
    <cellStyle name="20% - 强调文字颜色 5 2 17" xfId="90"/>
    <cellStyle name="差 7" xfId="91"/>
    <cellStyle name="计算 2 10 2" xfId="92"/>
    <cellStyle name="60% - 强调文字颜色 2 2 2 2" xfId="93"/>
    <cellStyle name="20% - 强调文字颜色 5 2 18" xfId="94"/>
    <cellStyle name="强调文字颜色 1 2 3 2" xfId="95"/>
    <cellStyle name="适中 2 6 2" xfId="96"/>
    <cellStyle name="警告文本 2 22" xfId="97"/>
    <cellStyle name="60% - 强调文字颜色 4 2 4 2" xfId="98"/>
    <cellStyle name="40% - 强调文字颜色 6 6 2" xfId="99"/>
    <cellStyle name="输出 2 4 2" xfId="100"/>
    <cellStyle name="60% - 强调文字颜色 6 23" xfId="101"/>
    <cellStyle name="标题 1 2 2 4" xfId="102"/>
    <cellStyle name="40% - 强调文字颜色 6 17 2 2 2" xfId="103"/>
    <cellStyle name="链接单元格 8" xfId="104"/>
    <cellStyle name="常规 2 2 2 5" xfId="105"/>
    <cellStyle name="链接单元格 2 2 4" xfId="106"/>
    <cellStyle name="警告文本 2 4 2" xfId="107"/>
    <cellStyle name="差 2 3 2" xfId="108"/>
    <cellStyle name="40% - 强调文字颜色 2 5 3" xfId="109"/>
    <cellStyle name="标题 1 2 7 2" xfId="110"/>
    <cellStyle name="40% - 强调文字颜色 4 2 3 2" xfId="111"/>
    <cellStyle name="60% - 强调文字颜色 5 2 8 2" xfId="112"/>
    <cellStyle name="常规 7 3 6 2" xfId="113"/>
    <cellStyle name="输入 2 2 2 3" xfId="114"/>
    <cellStyle name="标题 5 5" xfId="115"/>
    <cellStyle name="标题 2 2 20" xfId="116"/>
    <cellStyle name="标题 5 3 2" xfId="117"/>
    <cellStyle name="_ET_STYLE_NoName_00_" xfId="118"/>
    <cellStyle name="20% - 强调文字颜色 1 2 9" xfId="119"/>
    <cellStyle name="20% - Accent2" xfId="120"/>
    <cellStyle name="输出 2" xfId="121"/>
    <cellStyle name="20% - Accent3" xfId="122"/>
    <cellStyle name="千位分隔[0] 2" xfId="123"/>
    <cellStyle name="20% - Accent5" xfId="124"/>
    <cellStyle name="标题 3 2 8 2" xfId="125"/>
    <cellStyle name="20% - Accent1" xfId="126"/>
    <cellStyle name="60% - 强调文字颜色 1 9" xfId="127"/>
    <cellStyle name="40% - 强调文字颜色 6 2 15" xfId="128"/>
    <cellStyle name="20% - 强调文字颜色 5 2 15" xfId="129"/>
    <cellStyle name="标题 3 12" xfId="130"/>
    <cellStyle name="强调文字颜色 2 2 2 2" xfId="131"/>
    <cellStyle name="强调文字颜色 2 2 3 2" xfId="132"/>
    <cellStyle name="40% - 强调文字颜色 3 2 13" xfId="133"/>
    <cellStyle name="好 2 7 2" xfId="134"/>
    <cellStyle name="60% - 强调文字颜色 3 22 2" xfId="135"/>
    <cellStyle name="常规 3 2 9" xfId="136"/>
    <cellStyle name="强调文字颜色 3 2 13" xfId="137"/>
    <cellStyle name="20% - 强调文字颜色 2 2 3 2" xfId="138"/>
    <cellStyle name="60% - 强调文字颜色 1 4" xfId="139"/>
    <cellStyle name="适中 2 19" xfId="140"/>
    <cellStyle name="60% - 强调文字颜色 3 2 2 2 3" xfId="141"/>
    <cellStyle name="常规 41 2" xfId="142"/>
    <cellStyle name="60% - 强调文字颜色 6 2 15" xfId="143"/>
    <cellStyle name="60% - 强调文字颜色 1 2 4 2" xfId="144"/>
    <cellStyle name="40% - 强调文字颜色 2 2 7 2" xfId="145"/>
    <cellStyle name="警告文本 30" xfId="146"/>
    <cellStyle name="强调文字颜色 6 10" xfId="147"/>
    <cellStyle name="链接单元格 2 2 2 2 2" xfId="148"/>
    <cellStyle name="解释性文本 2 16" xfId="149"/>
    <cellStyle name="解释性文本 2 21" xfId="150"/>
    <cellStyle name="解释性文本 2 20" xfId="151"/>
    <cellStyle name="60% - 强调文字颜色 2 2 14" xfId="152"/>
    <cellStyle name="注释 2 9 3 2 2" xfId="153"/>
    <cellStyle name="标题 1 8" xfId="154"/>
    <cellStyle name="强调文字颜色 3 8" xfId="155"/>
    <cellStyle name="60% - 强调文字颜色 6 31" xfId="156"/>
    <cellStyle name="20% - 强调文字颜色 3 2 8 2" xfId="157"/>
    <cellStyle name="60% - 强调文字颜色 5 31" xfId="158"/>
    <cellStyle name="Currency" xfId="159"/>
    <cellStyle name="超链接 2 5" xfId="160"/>
    <cellStyle name="汇总 15" xfId="161"/>
    <cellStyle name="强调文字颜色 4 19" xfId="162"/>
    <cellStyle name="汇总 2 3 2" xfId="163"/>
    <cellStyle name="样式 1" xfId="164"/>
    <cellStyle name="检查单元格 8" xfId="165"/>
    <cellStyle name="差 14" xfId="166"/>
    <cellStyle name="Normal" xfId="167"/>
    <cellStyle name="输入 9" xfId="168"/>
    <cellStyle name="输入 2 22" xfId="169"/>
    <cellStyle name="好 2 21" xfId="170"/>
    <cellStyle name="标题 3 22 2" xfId="171"/>
    <cellStyle name="标题 4 22" xfId="172"/>
    <cellStyle name="Normal 7" xfId="173"/>
    <cellStyle name="强调文字颜色 6 2 2 2 3" xfId="174"/>
    <cellStyle name="强调文字颜色 1 26" xfId="175"/>
    <cellStyle name="强调文字颜色 5 2 2 4" xfId="176"/>
    <cellStyle name="强调文字颜色 4 18 2" xfId="177"/>
    <cellStyle name="计算 2 20" xfId="178"/>
    <cellStyle name="计算 2 21" xfId="179"/>
    <cellStyle name="标题 1 1" xfId="180"/>
    <cellStyle name="标题 2 1" xfId="181"/>
    <cellStyle name="千位分隔 2" xfId="182"/>
    <cellStyle name="强调文字颜色 6 31" xfId="183"/>
    <cellStyle name="好 2 20" xfId="184"/>
    <cellStyle name="好_胡俊绩效计划2010-11_冯歆" xfId="185"/>
    <cellStyle name="Comma" xfId="186"/>
    <cellStyle name="Comma[0]" xfId="187"/>
    <cellStyle name="Currency[0]" xfId="188"/>
    <cellStyle name="Hyperlink 2" xfId="189"/>
    <cellStyle name="常规 8 2" xfId="190"/>
    <cellStyle name="Percent" xfId="191"/>
    <cellStyle name="常规 11 10" xfId="192"/>
    <cellStyle name="差_李福春" xfId="193"/>
    <cellStyle name="常规 102" xfId="194"/>
    <cellStyle name="适中 27" xfId="195"/>
    <cellStyle name="强调文字颜色 5 19" xfId="196"/>
    <cellStyle name="常规 2_9月绩效计划王刚阳 2" xfId="197"/>
    <cellStyle name="常规 2 26" xfId="198"/>
    <cellStyle name="常规 3" xfId="199"/>
    <cellStyle name="检查单元格 2 7" xfId="200"/>
    <cellStyle name="超链接 2" xfId="201"/>
    <cellStyle name="常规 54" xfId="202"/>
    <cellStyle name="常规 5" xfId="203"/>
    <cellStyle name="常规_考核表单汇总 2" xfId="204"/>
    <cellStyle name="检查单元格 2 7 2" xfId="205"/>
    <cellStyle name="常规 6 2" xfId="206"/>
    <cellStyle name="常规_Sheet1_2_行政管理中心_4" xfId="207"/>
    <cellStyle name="常规_人资中心-人事组-9月绩效计划_8月绩效计划谢" xfId="208"/>
    <cellStyle name="超链接 7" xfId="209"/>
    <cellStyle name="一般_Sheet1" xfId="21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zoomScale="85" zoomScaleNormal="85" topLeftCell="A4" workbookViewId="0">
      <selection activeCell="E9" sqref="E9"/>
    </sheetView>
  </sheetViews>
  <sheetFormatPr defaultColWidth="9" defaultRowHeight="17.25"/>
  <cols>
    <col min="1" max="1" width="6.875" style="3" customWidth="1"/>
    <col min="2" max="2" width="5.625" style="3" customWidth="1"/>
    <col min="3" max="3" width="13.375" style="4" customWidth="1"/>
    <col min="4" max="4" width="13.875" style="5" customWidth="1"/>
    <col min="5" max="5" width="101.875" style="5" customWidth="1"/>
    <col min="6" max="6" width="10" style="6" customWidth="1"/>
    <col min="7" max="7" width="8.625" style="7" customWidth="1"/>
    <col min="8" max="8" width="21.125" style="3" customWidth="1"/>
    <col min="9" max="9" width="13.525" style="3" customWidth="1"/>
    <col min="10" max="10" width="19.625" style="3" customWidth="1"/>
    <col min="11" max="16384" width="9" style="3"/>
  </cols>
  <sheetData>
    <row r="1" ht="15" customHeight="1" spans="1:12">
      <c r="A1" s="6" t="s">
        <v>0</v>
      </c>
      <c r="B1" s="6"/>
      <c r="C1" s="6"/>
      <c r="D1" s="6"/>
      <c r="E1" s="6"/>
      <c r="G1" s="6"/>
      <c r="H1" s="6"/>
    </row>
    <row r="2" ht="24" customHeight="1" spans="1:12">
      <c r="A2" s="8" t="s">
        <v>1</v>
      </c>
      <c r="B2" s="8"/>
      <c r="C2" s="8"/>
      <c r="D2" s="8"/>
      <c r="E2" s="8"/>
      <c r="F2" s="8"/>
      <c r="G2" s="8"/>
      <c r="H2" s="8"/>
    </row>
    <row r="3" s="1" customFormat="1" ht="21.75" hidden="1" customHeight="1" spans="1:12">
      <c r="A3" s="9" t="s">
        <v>2</v>
      </c>
      <c r="B3" s="10"/>
      <c r="C3" s="10"/>
      <c r="D3" s="10"/>
      <c r="E3" s="10"/>
      <c r="F3" s="10"/>
      <c r="G3" s="11"/>
      <c r="H3" s="12"/>
    </row>
    <row r="4" s="1" customFormat="1" ht="29.25" customHeight="1" spans="1:12">
      <c r="A4" s="13" t="s">
        <v>3</v>
      </c>
      <c r="B4" s="13" t="s">
        <v>4</v>
      </c>
      <c r="C4" s="14" t="s">
        <v>5</v>
      </c>
      <c r="D4" s="13" t="s">
        <v>6</v>
      </c>
      <c r="E4" s="15" t="s">
        <v>7</v>
      </c>
      <c r="F4" s="15"/>
      <c r="G4" s="16"/>
      <c r="H4" s="15"/>
    </row>
    <row r="5" s="2" customFormat="1" ht="19.5" customHeight="1" spans="1:12">
      <c r="A5" s="17" t="s">
        <v>8</v>
      </c>
      <c r="B5" s="18" t="s">
        <v>9</v>
      </c>
      <c r="C5" s="19" t="s">
        <v>10</v>
      </c>
      <c r="D5" s="20"/>
      <c r="E5" s="20"/>
      <c r="F5" s="18"/>
      <c r="G5" s="20" t="s">
        <v>11</v>
      </c>
      <c r="H5" s="21"/>
    </row>
    <row r="6" s="2" customFormat="1" ht="19.5" customHeight="1" spans="1:12">
      <c r="A6" s="22"/>
      <c r="B6" s="23"/>
      <c r="C6" s="24" t="s">
        <v>12</v>
      </c>
      <c r="D6" s="25" t="s">
        <v>13</v>
      </c>
      <c r="E6" s="25" t="s">
        <v>14</v>
      </c>
      <c r="F6" s="25" t="s">
        <v>15</v>
      </c>
      <c r="G6" s="25" t="s">
        <v>16</v>
      </c>
      <c r="H6" s="26" t="s">
        <v>17</v>
      </c>
    </row>
    <row r="7" s="2" customFormat="1" ht="72" customHeight="1" spans="1:12">
      <c r="A7" s="27" t="s">
        <v>18</v>
      </c>
      <c r="B7" s="28"/>
      <c r="C7" s="29" t="s">
        <v>19</v>
      </c>
      <c r="D7" s="30" t="s">
        <v>20</v>
      </c>
      <c r="E7" s="31" t="s">
        <v>21</v>
      </c>
      <c r="F7" s="32"/>
      <c r="G7" s="33"/>
      <c r="H7" s="34"/>
    </row>
    <row r="8" s="2" customFormat="1" ht="82.5" customHeight="1" spans="1:12">
      <c r="A8" s="27"/>
      <c r="B8" s="28"/>
      <c r="C8" s="35" t="s">
        <v>22</v>
      </c>
      <c r="D8" s="36" t="s">
        <v>23</v>
      </c>
      <c r="E8" s="37" t="s">
        <v>24</v>
      </c>
      <c r="F8" s="38"/>
      <c r="G8" s="39"/>
      <c r="H8" s="40"/>
    </row>
    <row r="9" s="2" customFormat="1" ht="75.75" customHeight="1" spans="1:12">
      <c r="A9" s="41" t="s">
        <v>25</v>
      </c>
      <c r="B9" s="42">
        <v>0.95</v>
      </c>
      <c r="C9" s="43" t="s">
        <v>26</v>
      </c>
      <c r="D9" s="44" t="s">
        <v>27</v>
      </c>
      <c r="E9" s="45" t="s">
        <v>28</v>
      </c>
      <c r="F9" s="46">
        <v>25</v>
      </c>
      <c r="G9" s="47"/>
      <c r="H9" s="48"/>
      <c r="I9" s="49" t="s">
        <v>29</v>
      </c>
    </row>
    <row r="10" s="2" customFormat="1" ht="75.75" customHeight="1" spans="1:12">
      <c r="A10" s="41"/>
      <c r="B10" s="50"/>
      <c r="C10" s="43" t="s">
        <v>30</v>
      </c>
      <c r="D10" s="44" t="s">
        <v>31</v>
      </c>
      <c r="E10" s="45" t="s">
        <v>32</v>
      </c>
      <c r="F10" s="46">
        <v>15</v>
      </c>
      <c r="G10" s="47"/>
      <c r="H10" s="48"/>
      <c r="I10" s="51" t="s">
        <v>33</v>
      </c>
      <c r="L10" s="1"/>
    </row>
    <row r="11" s="1" customFormat="1" ht="408" customHeight="1" spans="1:12">
      <c r="A11" s="41"/>
      <c r="B11" s="50"/>
      <c r="C11" s="52" t="s">
        <v>34</v>
      </c>
      <c r="D11" s="53" t="s">
        <v>35</v>
      </c>
      <c r="E11" s="54" t="s">
        <v>36</v>
      </c>
      <c r="F11" s="55">
        <v>45</v>
      </c>
      <c r="G11" s="56"/>
      <c r="H11" s="57" t="s">
        <v>37</v>
      </c>
      <c r="J11" s="58"/>
    </row>
    <row r="12" s="1" customFormat="1" ht="129" customHeight="1" spans="1:12">
      <c r="A12" s="59"/>
      <c r="B12" s="60"/>
      <c r="C12" s="61" t="s">
        <v>38</v>
      </c>
      <c r="D12" s="62" t="s">
        <v>39</v>
      </c>
      <c r="E12" s="63" t="s">
        <v>40</v>
      </c>
      <c r="F12" s="55">
        <v>10</v>
      </c>
      <c r="G12" s="56"/>
      <c r="H12" s="57" t="s">
        <v>41</v>
      </c>
      <c r="I12" s="49" t="s">
        <v>42</v>
      </c>
    </row>
    <row r="13" s="1" customFormat="1" ht="95.25" customHeight="1" spans="1:12">
      <c r="A13" s="64" t="s">
        <v>43</v>
      </c>
      <c r="B13" s="42">
        <v>0.05</v>
      </c>
      <c r="C13" s="65" t="s">
        <v>44</v>
      </c>
      <c r="D13" s="66" t="s">
        <v>45</v>
      </c>
      <c r="E13" s="67" t="s">
        <v>46</v>
      </c>
      <c r="F13" s="55">
        <v>5</v>
      </c>
      <c r="G13" s="56"/>
      <c r="H13" s="68"/>
    </row>
    <row r="14" s="1" customFormat="1" ht="101.25" customHeight="1" spans="1:12">
      <c r="A14" s="69" t="s">
        <v>47</v>
      </c>
      <c r="B14" s="70"/>
      <c r="C14" s="71"/>
      <c r="D14" s="66" t="s">
        <v>48</v>
      </c>
      <c r="E14" s="67" t="s">
        <v>49</v>
      </c>
      <c r="F14" s="72"/>
      <c r="G14" s="56"/>
      <c r="H14" s="73"/>
    </row>
    <row r="15" s="1" customFormat="1" ht="19.5" customHeight="1" spans="1:12">
      <c r="A15" s="74" t="s">
        <v>50</v>
      </c>
      <c r="B15" s="75"/>
      <c r="C15" s="76"/>
      <c r="D15" s="77"/>
      <c r="E15" s="78"/>
      <c r="F15" s="79">
        <f>SUM(F9:F14)</f>
        <v>100</v>
      </c>
      <c r="G15" s="80"/>
      <c r="H15" s="81"/>
    </row>
    <row r="16" s="1" customFormat="1" ht="30.75" customHeight="1" spans="1:12">
      <c r="A16" s="82" t="s">
        <v>51</v>
      </c>
      <c r="B16" s="83"/>
      <c r="C16" s="83" t="s">
        <v>52</v>
      </c>
      <c r="D16" s="83"/>
      <c r="E16" s="83"/>
      <c r="F16" s="84"/>
      <c r="G16" s="85" t="s">
        <v>53</v>
      </c>
      <c r="H16" s="86"/>
    </row>
    <row r="17" s="1" customFormat="1" ht="70.5" customHeight="1" spans="1:8">
      <c r="A17" s="87" t="s">
        <v>54</v>
      </c>
      <c r="B17" s="88"/>
      <c r="C17" s="89" t="s">
        <v>55</v>
      </c>
      <c r="D17" s="90"/>
      <c r="E17" s="90"/>
      <c r="F17" s="90"/>
      <c r="G17" s="90"/>
      <c r="H17" s="91"/>
    </row>
    <row r="18" s="1" customFormat="1" ht="33" customHeight="1" spans="1:8">
      <c r="A18" s="92" t="s">
        <v>56</v>
      </c>
      <c r="B18" s="93" t="s">
        <v>57</v>
      </c>
      <c r="C18" s="93"/>
      <c r="D18" s="94"/>
      <c r="E18" s="95" t="s">
        <v>58</v>
      </c>
      <c r="F18" s="96" t="s">
        <v>59</v>
      </c>
      <c r="G18" s="97"/>
      <c r="H18" s="96"/>
    </row>
    <row r="19" s="1" customFormat="1" ht="32.25" customHeight="1" spans="1:8">
      <c r="A19" s="92" t="s">
        <v>60</v>
      </c>
      <c r="B19" s="93" t="s">
        <v>57</v>
      </c>
      <c r="C19" s="93"/>
      <c r="D19" s="94"/>
      <c r="E19" s="95" t="s">
        <v>58</v>
      </c>
      <c r="F19" s="96" t="s">
        <v>59</v>
      </c>
      <c r="G19" s="97"/>
      <c r="H19" s="96"/>
    </row>
  </sheetData>
  <protectedRanges>
    <protectedRange sqref="A2" name="Range1_1_2"/>
    <protectedRange sqref="A3" name="Range1_1_3_1"/>
  </protectedRanges>
  <mergeCells count="25">
    <mergeCell ref="A1:H1"/>
    <mergeCell ref="A2:H2"/>
    <mergeCell ref="A3:H3"/>
    <mergeCell ref="E4:H4"/>
    <mergeCell ref="C5:F5"/>
    <mergeCell ref="G5:H5"/>
    <mergeCell ref="A14:C14"/>
    <mergeCell ref="A15:B15"/>
    <mergeCell ref="C15:E15"/>
    <mergeCell ref="A16:B16"/>
    <mergeCell ref="C16:F16"/>
    <mergeCell ref="G16:H16"/>
    <mergeCell ref="A17:B17"/>
    <mergeCell ref="C17:H17"/>
    <mergeCell ref="B18:C18"/>
    <mergeCell ref="F18:H18"/>
    <mergeCell ref="B19:C19"/>
    <mergeCell ref="F19:H19"/>
    <mergeCell ref="A5:A6"/>
    <mergeCell ref="A7:A8"/>
    <mergeCell ref="A9:A12"/>
    <mergeCell ref="B5:B6"/>
    <mergeCell ref="B9:B12"/>
    <mergeCell ref="H7:H9"/>
    <mergeCell ref="F7:G8"/>
  </mergeCells>
  <dataValidations count="1">
    <dataValidation allowBlank="1" showInputMessage="1" showErrorMessage="1" sqref="E4 A18:B19 D18:F19 I18:XFD19"/>
  </dataValidations>
  <pageMargins left="0.118110236220472" right="0.118110236220472" top="0" bottom="0" header="0.196850393700787" footer="0"/>
  <pageSetup paperSize="9" scale="7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Range1_1_2" rangeCreator="" othersAccessPermission="edit"/>
    <arrUserId title="Range1_1_3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Kaidishi-UK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NiuMa</dc:creator>
  <cp:lastModifiedBy>微信用户</cp:lastModifiedBy>
  <dcterms:created xsi:type="dcterms:W3CDTF">2015-11-30T14:53:00Z</dcterms:created>
  <cp:lastPrinted>2018-02-27T03:55:00Z</cp:lastPrinted>
  <dcterms:modified xsi:type="dcterms:W3CDTF">2026-07-30T06:59:57Z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5E6A6983A3134051ADA59444BECA9521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